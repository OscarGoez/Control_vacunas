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Control_vacunas\"/>
    </mc:Choice>
  </mc:AlternateContent>
  <xr:revisionPtr revIDLastSave="0" documentId="13_ncr:1_{1B3C86E1-24E5-496D-8C50-6D7FD4636740}" xr6:coauthVersionLast="47" xr6:coauthVersionMax="47" xr10:uidLastSave="{00000000-0000-0000-0000-000000000000}"/>
  <bookViews>
    <workbookView xWindow="6345" yWindow="2475" windowWidth="21600" windowHeight="11835" xr2:uid="{00000000-000D-0000-FFFF-FFFF00000000}"/>
  </bookViews>
  <sheets>
    <sheet name="CUNAS 1" sheetId="1" r:id="rId1"/>
    <sheet name="CUNAS 2" sheetId="2" r:id="rId2"/>
    <sheet name="CUNAS 3" sheetId="3" r:id="rId3"/>
    <sheet name="CUNAS 4" sheetId="4" r:id="rId4"/>
    <sheet name="CUNAS 5" sheetId="5" r:id="rId5"/>
  </sheets>
  <calcPr calcId="191029"/>
</workbook>
</file>

<file path=xl/calcChain.xml><?xml version="1.0" encoding="utf-8"?>
<calcChain xmlns="http://schemas.openxmlformats.org/spreadsheetml/2006/main">
  <c r="S29" i="5" l="1"/>
  <c r="Q29" i="5"/>
  <c r="O29" i="5"/>
  <c r="J29" i="5"/>
  <c r="D29" i="5"/>
  <c r="S28" i="5"/>
  <c r="Q28" i="5"/>
  <c r="O28" i="5"/>
  <c r="J28" i="5"/>
  <c r="D28" i="5"/>
  <c r="S27" i="5"/>
  <c r="Q27" i="5"/>
  <c r="O27" i="5"/>
  <c r="J27" i="5"/>
  <c r="D27" i="5"/>
  <c r="S26" i="5"/>
  <c r="Q26" i="5"/>
  <c r="O26" i="5"/>
  <c r="J26" i="5"/>
  <c r="D26" i="5"/>
  <c r="S25" i="5"/>
  <c r="Q25" i="5"/>
  <c r="O25" i="5"/>
  <c r="J25" i="5"/>
  <c r="D25" i="5"/>
  <c r="O24" i="5"/>
  <c r="J24" i="5"/>
  <c r="D24" i="5"/>
  <c r="S23" i="5"/>
  <c r="Q23" i="5"/>
  <c r="O23" i="5"/>
  <c r="J23" i="5"/>
  <c r="D23" i="5"/>
  <c r="S22" i="5"/>
  <c r="Q22" i="5"/>
  <c r="O22" i="5"/>
  <c r="J22" i="5"/>
  <c r="D22" i="5"/>
  <c r="S21" i="5"/>
  <c r="Q21" i="5"/>
  <c r="O21" i="5"/>
  <c r="J21" i="5"/>
  <c r="D21" i="5"/>
  <c r="S20" i="5"/>
  <c r="Q20" i="5"/>
  <c r="O20" i="5"/>
  <c r="J20" i="5"/>
  <c r="D20" i="5"/>
  <c r="Q19" i="5"/>
  <c r="O19" i="5"/>
  <c r="J19" i="5"/>
  <c r="D19" i="5"/>
  <c r="S18" i="5"/>
  <c r="Q18" i="5"/>
  <c r="O18" i="5"/>
  <c r="J18" i="5"/>
  <c r="D18" i="5"/>
  <c r="S17" i="5"/>
  <c r="O17" i="5"/>
  <c r="J17" i="5"/>
  <c r="D17" i="5"/>
  <c r="J16" i="5"/>
  <c r="D16" i="5"/>
  <c r="Q15" i="5"/>
  <c r="O15" i="5"/>
  <c r="J15" i="5"/>
  <c r="D15" i="5"/>
  <c r="S14" i="5"/>
  <c r="Q14" i="5"/>
  <c r="O14" i="5"/>
  <c r="J14" i="5"/>
  <c r="D14" i="5"/>
  <c r="S13" i="5"/>
  <c r="Q13" i="5"/>
  <c r="O13" i="5"/>
  <c r="J13" i="5"/>
  <c r="D13" i="5"/>
  <c r="S12" i="5"/>
  <c r="Q12" i="5"/>
  <c r="O12" i="5"/>
  <c r="J12" i="5"/>
  <c r="D12" i="5"/>
  <c r="S11" i="5"/>
  <c r="Q11" i="5"/>
  <c r="O11" i="5"/>
  <c r="J11" i="5"/>
  <c r="D11" i="5"/>
  <c r="S10" i="5"/>
  <c r="Q10" i="5"/>
  <c r="O10" i="5"/>
  <c r="J10" i="5"/>
  <c r="D10" i="5"/>
  <c r="S9" i="5"/>
  <c r="Q9" i="5"/>
  <c r="O9" i="5"/>
  <c r="J9" i="5"/>
  <c r="D9" i="5"/>
  <c r="S8" i="5"/>
  <c r="Q8" i="5"/>
  <c r="O8" i="5"/>
  <c r="J8" i="5"/>
  <c r="D8" i="5"/>
  <c r="S7" i="5"/>
  <c r="Q7" i="5"/>
  <c r="O7" i="5"/>
  <c r="J7" i="5"/>
  <c r="D7" i="5"/>
  <c r="J6" i="5"/>
  <c r="D6" i="5"/>
  <c r="O5" i="5"/>
  <c r="J5" i="5"/>
  <c r="D5" i="5"/>
  <c r="S4" i="5"/>
  <c r="Q4" i="5"/>
  <c r="O4" i="5"/>
  <c r="J4" i="5"/>
  <c r="D4" i="5"/>
  <c r="S3" i="5"/>
  <c r="Q3" i="5"/>
  <c r="O3" i="5"/>
  <c r="J3" i="5"/>
  <c r="D3" i="5"/>
  <c r="S2" i="5"/>
  <c r="Q2" i="5"/>
  <c r="O2" i="5"/>
  <c r="J2" i="5"/>
  <c r="D2" i="5"/>
  <c r="S29" i="4"/>
  <c r="Q29" i="4"/>
  <c r="O29" i="4"/>
  <c r="J29" i="4"/>
  <c r="D29" i="4"/>
  <c r="S28" i="4"/>
  <c r="Q28" i="4"/>
  <c r="O28" i="4"/>
  <c r="J28" i="4"/>
  <c r="D28" i="4"/>
  <c r="S27" i="4"/>
  <c r="Q27" i="4"/>
  <c r="O27" i="4"/>
  <c r="J27" i="4"/>
  <c r="D27" i="4"/>
  <c r="S26" i="4"/>
  <c r="Q26" i="4"/>
  <c r="O26" i="4"/>
  <c r="J26" i="4"/>
  <c r="D26" i="4"/>
  <c r="S25" i="4"/>
  <c r="Q25" i="4"/>
  <c r="O25" i="4"/>
  <c r="J25" i="4"/>
  <c r="D25" i="4"/>
  <c r="O24" i="4"/>
  <c r="J24" i="4"/>
  <c r="D24" i="4"/>
  <c r="S23" i="4"/>
  <c r="Q23" i="4"/>
  <c r="O23" i="4"/>
  <c r="J23" i="4"/>
  <c r="D23" i="4"/>
  <c r="S22" i="4"/>
  <c r="Q22" i="4"/>
  <c r="O22" i="4"/>
  <c r="J22" i="4"/>
  <c r="D22" i="4"/>
  <c r="S21" i="4"/>
  <c r="Q21" i="4"/>
  <c r="O21" i="4"/>
  <c r="J21" i="4"/>
  <c r="D21" i="4"/>
  <c r="S20" i="4"/>
  <c r="Q20" i="4"/>
  <c r="O20" i="4"/>
  <c r="J20" i="4"/>
  <c r="D20" i="4"/>
  <c r="Q19" i="4"/>
  <c r="O19" i="4"/>
  <c r="J19" i="4"/>
  <c r="D19" i="4"/>
  <c r="S18" i="4"/>
  <c r="Q18" i="4"/>
  <c r="O18" i="4"/>
  <c r="J18" i="4"/>
  <c r="D18" i="4"/>
  <c r="S17" i="4"/>
  <c r="O17" i="4"/>
  <c r="J17" i="4"/>
  <c r="D17" i="4"/>
  <c r="J16" i="4"/>
  <c r="D16" i="4"/>
  <c r="Q15" i="4"/>
  <c r="O15" i="4"/>
  <c r="J15" i="4"/>
  <c r="D15" i="4"/>
  <c r="S14" i="4"/>
  <c r="Q14" i="4"/>
  <c r="O14" i="4"/>
  <c r="J14" i="4"/>
  <c r="D14" i="4"/>
  <c r="S13" i="4"/>
  <c r="Q13" i="4"/>
  <c r="O13" i="4"/>
  <c r="J13" i="4"/>
  <c r="D13" i="4"/>
  <c r="S12" i="4"/>
  <c r="Q12" i="4"/>
  <c r="O12" i="4"/>
  <c r="J12" i="4"/>
  <c r="D12" i="4"/>
  <c r="S11" i="4"/>
  <c r="Q11" i="4"/>
  <c r="O11" i="4"/>
  <c r="J11" i="4"/>
  <c r="D11" i="4"/>
  <c r="S10" i="4"/>
  <c r="Q10" i="4"/>
  <c r="O10" i="4"/>
  <c r="J10" i="4"/>
  <c r="D10" i="4"/>
  <c r="S9" i="4"/>
  <c r="Q9" i="4"/>
  <c r="O9" i="4"/>
  <c r="J9" i="4"/>
  <c r="D9" i="4"/>
  <c r="S8" i="4"/>
  <c r="Q8" i="4"/>
  <c r="O8" i="4"/>
  <c r="J8" i="4"/>
  <c r="D8" i="4"/>
  <c r="S7" i="4"/>
  <c r="Q7" i="4"/>
  <c r="O7" i="4"/>
  <c r="J7" i="4"/>
  <c r="D7" i="4"/>
  <c r="J6" i="4"/>
  <c r="D6" i="4"/>
  <c r="O5" i="4"/>
  <c r="J5" i="4"/>
  <c r="D5" i="4"/>
  <c r="S4" i="4"/>
  <c r="Q4" i="4"/>
  <c r="O4" i="4"/>
  <c r="J4" i="4"/>
  <c r="D4" i="4"/>
  <c r="S3" i="4"/>
  <c r="Q3" i="4"/>
  <c r="O3" i="4"/>
  <c r="J3" i="4"/>
  <c r="D3" i="4"/>
  <c r="S2" i="4"/>
  <c r="Q2" i="4"/>
  <c r="O2" i="4"/>
  <c r="J2" i="4"/>
  <c r="D2" i="4"/>
  <c r="S29" i="3"/>
  <c r="Q29" i="3"/>
  <c r="O29" i="3"/>
  <c r="J29" i="3"/>
  <c r="D29" i="3"/>
  <c r="S28" i="3"/>
  <c r="Q28" i="3"/>
  <c r="O28" i="3"/>
  <c r="J28" i="3"/>
  <c r="D28" i="3"/>
  <c r="S27" i="3"/>
  <c r="Q27" i="3"/>
  <c r="O27" i="3"/>
  <c r="J27" i="3"/>
  <c r="D27" i="3"/>
  <c r="S26" i="3"/>
  <c r="Q26" i="3"/>
  <c r="O26" i="3"/>
  <c r="J26" i="3"/>
  <c r="D26" i="3"/>
  <c r="S25" i="3"/>
  <c r="Q25" i="3"/>
  <c r="O25" i="3"/>
  <c r="J25" i="3"/>
  <c r="D25" i="3"/>
  <c r="O24" i="3"/>
  <c r="J24" i="3"/>
  <c r="D24" i="3"/>
  <c r="S23" i="3"/>
  <c r="Q23" i="3"/>
  <c r="O23" i="3"/>
  <c r="J23" i="3"/>
  <c r="D23" i="3"/>
  <c r="S22" i="3"/>
  <c r="Q22" i="3"/>
  <c r="O22" i="3"/>
  <c r="J22" i="3"/>
  <c r="D22" i="3"/>
  <c r="S21" i="3"/>
  <c r="Q21" i="3"/>
  <c r="O21" i="3"/>
  <c r="J21" i="3"/>
  <c r="D21" i="3"/>
  <c r="S20" i="3"/>
  <c r="Q20" i="3"/>
  <c r="O20" i="3"/>
  <c r="J20" i="3"/>
  <c r="D20" i="3"/>
  <c r="Q19" i="3"/>
  <c r="O19" i="3"/>
  <c r="J19" i="3"/>
  <c r="D19" i="3"/>
  <c r="S18" i="3"/>
  <c r="Q18" i="3"/>
  <c r="O18" i="3"/>
  <c r="J18" i="3"/>
  <c r="D18" i="3"/>
  <c r="S17" i="3"/>
  <c r="O17" i="3"/>
  <c r="J17" i="3"/>
  <c r="D17" i="3"/>
  <c r="J16" i="3"/>
  <c r="D16" i="3"/>
  <c r="Q15" i="3"/>
  <c r="O15" i="3"/>
  <c r="J15" i="3"/>
  <c r="D15" i="3"/>
  <c r="S14" i="3"/>
  <c r="Q14" i="3"/>
  <c r="O14" i="3"/>
  <c r="J14" i="3"/>
  <c r="D14" i="3"/>
  <c r="S13" i="3"/>
  <c r="Q13" i="3"/>
  <c r="O13" i="3"/>
  <c r="J13" i="3"/>
  <c r="D13" i="3"/>
  <c r="S12" i="3"/>
  <c r="Q12" i="3"/>
  <c r="O12" i="3"/>
  <c r="J12" i="3"/>
  <c r="D12" i="3"/>
  <c r="S11" i="3"/>
  <c r="Q11" i="3"/>
  <c r="O11" i="3"/>
  <c r="J11" i="3"/>
  <c r="D11" i="3"/>
  <c r="S10" i="3"/>
  <c r="Q10" i="3"/>
  <c r="O10" i="3"/>
  <c r="J10" i="3"/>
  <c r="D10" i="3"/>
  <c r="S9" i="3"/>
  <c r="Q9" i="3"/>
  <c r="O9" i="3"/>
  <c r="J9" i="3"/>
  <c r="D9" i="3"/>
  <c r="S8" i="3"/>
  <c r="Q8" i="3"/>
  <c r="O8" i="3"/>
  <c r="J8" i="3"/>
  <c r="D8" i="3"/>
  <c r="S7" i="3"/>
  <c r="Q7" i="3"/>
  <c r="O7" i="3"/>
  <c r="J7" i="3"/>
  <c r="D7" i="3"/>
  <c r="J6" i="3"/>
  <c r="D6" i="3"/>
  <c r="O5" i="3"/>
  <c r="J5" i="3"/>
  <c r="D5" i="3"/>
  <c r="S4" i="3"/>
  <c r="Q4" i="3"/>
  <c r="O4" i="3"/>
  <c r="J4" i="3"/>
  <c r="D4" i="3"/>
  <c r="S3" i="3"/>
  <c r="Q3" i="3"/>
  <c r="O3" i="3"/>
  <c r="J3" i="3"/>
  <c r="D3" i="3"/>
  <c r="S2" i="3"/>
  <c r="Q2" i="3"/>
  <c r="O2" i="3"/>
  <c r="J2" i="3"/>
  <c r="D2" i="3"/>
  <c r="S29" i="2"/>
  <c r="Q29" i="2"/>
  <c r="O29" i="2"/>
  <c r="J29" i="2"/>
  <c r="D29" i="2"/>
  <c r="S28" i="2"/>
  <c r="Q28" i="2"/>
  <c r="O28" i="2"/>
  <c r="J28" i="2"/>
  <c r="D28" i="2"/>
  <c r="S27" i="2"/>
  <c r="Q27" i="2"/>
  <c r="O27" i="2"/>
  <c r="J27" i="2"/>
  <c r="D27" i="2"/>
  <c r="S26" i="2"/>
  <c r="Q26" i="2"/>
  <c r="O26" i="2"/>
  <c r="J26" i="2"/>
  <c r="D26" i="2"/>
  <c r="S25" i="2"/>
  <c r="Q25" i="2"/>
  <c r="O25" i="2"/>
  <c r="J25" i="2"/>
  <c r="D25" i="2"/>
  <c r="O24" i="2"/>
  <c r="J24" i="2"/>
  <c r="D24" i="2"/>
  <c r="S23" i="2"/>
  <c r="Q23" i="2"/>
  <c r="O23" i="2"/>
  <c r="J23" i="2"/>
  <c r="D23" i="2"/>
  <c r="S22" i="2"/>
  <c r="Q22" i="2"/>
  <c r="O22" i="2"/>
  <c r="J22" i="2"/>
  <c r="D22" i="2"/>
  <c r="S21" i="2"/>
  <c r="Q21" i="2"/>
  <c r="O21" i="2"/>
  <c r="J21" i="2"/>
  <c r="D21" i="2"/>
  <c r="S20" i="2"/>
  <c r="Q20" i="2"/>
  <c r="O20" i="2"/>
  <c r="J20" i="2"/>
  <c r="D20" i="2"/>
  <c r="Q19" i="2"/>
  <c r="O19" i="2"/>
  <c r="J19" i="2"/>
  <c r="D19" i="2"/>
  <c r="S18" i="2"/>
  <c r="Q18" i="2"/>
  <c r="O18" i="2"/>
  <c r="J18" i="2"/>
  <c r="D18" i="2"/>
  <c r="S17" i="2"/>
  <c r="O17" i="2"/>
  <c r="J17" i="2"/>
  <c r="D17" i="2"/>
  <c r="J16" i="2"/>
  <c r="D16" i="2"/>
  <c r="Q15" i="2"/>
  <c r="O15" i="2"/>
  <c r="J15" i="2"/>
  <c r="D15" i="2"/>
  <c r="S14" i="2"/>
  <c r="Q14" i="2"/>
  <c r="O14" i="2"/>
  <c r="J14" i="2"/>
  <c r="D14" i="2"/>
  <c r="S13" i="2"/>
  <c r="Q13" i="2"/>
  <c r="O13" i="2"/>
  <c r="J13" i="2"/>
  <c r="D13" i="2"/>
  <c r="S12" i="2"/>
  <c r="Q12" i="2"/>
  <c r="O12" i="2"/>
  <c r="J12" i="2"/>
  <c r="D12" i="2"/>
  <c r="S11" i="2"/>
  <c r="Q11" i="2"/>
  <c r="O11" i="2"/>
  <c r="J11" i="2"/>
  <c r="D11" i="2"/>
  <c r="S10" i="2"/>
  <c r="Q10" i="2"/>
  <c r="O10" i="2"/>
  <c r="J10" i="2"/>
  <c r="D10" i="2"/>
  <c r="S9" i="2"/>
  <c r="Q9" i="2"/>
  <c r="O9" i="2"/>
  <c r="J9" i="2"/>
  <c r="D9" i="2"/>
  <c r="S8" i="2"/>
  <c r="Q8" i="2"/>
  <c r="O8" i="2"/>
  <c r="J8" i="2"/>
  <c r="D8" i="2"/>
  <c r="S7" i="2"/>
  <c r="Q7" i="2"/>
  <c r="O7" i="2"/>
  <c r="J7" i="2"/>
  <c r="D7" i="2"/>
  <c r="J6" i="2"/>
  <c r="D6" i="2"/>
  <c r="O5" i="2"/>
  <c r="J5" i="2"/>
  <c r="D5" i="2"/>
  <c r="S4" i="2"/>
  <c r="Q4" i="2"/>
  <c r="O4" i="2"/>
  <c r="J4" i="2"/>
  <c r="D4" i="2"/>
  <c r="S3" i="2"/>
  <c r="Q3" i="2"/>
  <c r="O3" i="2"/>
  <c r="J3" i="2"/>
  <c r="D3" i="2"/>
  <c r="S2" i="2"/>
  <c r="Q2" i="2"/>
  <c r="O2" i="2"/>
  <c r="J2" i="2"/>
  <c r="D2" i="2"/>
  <c r="S29" i="1"/>
  <c r="Q29" i="1"/>
  <c r="O29" i="1"/>
  <c r="J29" i="1"/>
  <c r="D29" i="1"/>
  <c r="S28" i="1"/>
  <c r="Q28" i="1"/>
  <c r="O28" i="1"/>
  <c r="J28" i="1"/>
  <c r="D28" i="1"/>
  <c r="S27" i="1"/>
  <c r="Q27" i="1"/>
  <c r="O27" i="1"/>
  <c r="J27" i="1"/>
  <c r="D27" i="1"/>
  <c r="S26" i="1"/>
  <c r="Q26" i="1"/>
  <c r="O26" i="1"/>
  <c r="J26" i="1"/>
  <c r="D26" i="1"/>
  <c r="S25" i="1"/>
  <c r="Q25" i="1"/>
  <c r="O25" i="1"/>
  <c r="J25" i="1"/>
  <c r="D25" i="1"/>
  <c r="O24" i="1"/>
  <c r="J24" i="1"/>
  <c r="D24" i="1"/>
  <c r="S23" i="1"/>
  <c r="Q23" i="1"/>
  <c r="O23" i="1"/>
  <c r="J23" i="1"/>
  <c r="D23" i="1"/>
  <c r="S22" i="1"/>
  <c r="Q22" i="1"/>
  <c r="O22" i="1"/>
  <c r="J22" i="1"/>
  <c r="D22" i="1"/>
  <c r="S21" i="1"/>
  <c r="Q21" i="1"/>
  <c r="O21" i="1"/>
  <c r="J21" i="1"/>
  <c r="D21" i="1"/>
  <c r="S20" i="1"/>
  <c r="Q20" i="1"/>
  <c r="O20" i="1"/>
  <c r="J20" i="1"/>
  <c r="D20" i="1"/>
  <c r="Q19" i="1"/>
  <c r="O19" i="1"/>
  <c r="J19" i="1"/>
  <c r="D19" i="1"/>
  <c r="S18" i="1"/>
  <c r="Q18" i="1"/>
  <c r="O18" i="1"/>
  <c r="J18" i="1"/>
  <c r="D18" i="1"/>
  <c r="S17" i="1"/>
  <c r="O17" i="1"/>
  <c r="J17" i="1"/>
  <c r="D17" i="1"/>
  <c r="J16" i="1"/>
  <c r="D16" i="1"/>
  <c r="Q15" i="1"/>
  <c r="O15" i="1"/>
  <c r="J15" i="1"/>
  <c r="D15" i="1"/>
  <c r="S14" i="1"/>
  <c r="Q14" i="1"/>
  <c r="O14" i="1"/>
  <c r="J14" i="1"/>
  <c r="D14" i="1"/>
  <c r="S13" i="1"/>
  <c r="Q13" i="1"/>
  <c r="O13" i="1"/>
  <c r="J13" i="1"/>
  <c r="D13" i="1"/>
  <c r="S12" i="1"/>
  <c r="Q12" i="1"/>
  <c r="O12" i="1"/>
  <c r="J12" i="1"/>
  <c r="D12" i="1"/>
  <c r="S11" i="1"/>
  <c r="Q11" i="1"/>
  <c r="O11" i="1"/>
  <c r="J11" i="1"/>
  <c r="D11" i="1"/>
  <c r="S10" i="1"/>
  <c r="Q10" i="1"/>
  <c r="O10" i="1"/>
  <c r="J10" i="1"/>
  <c r="D10" i="1"/>
  <c r="S9" i="1"/>
  <c r="Q9" i="1"/>
  <c r="O9" i="1"/>
  <c r="J9" i="1"/>
  <c r="D9" i="1"/>
  <c r="S8" i="1"/>
  <c r="Q8" i="1"/>
  <c r="O8" i="1"/>
  <c r="J8" i="1"/>
  <c r="D8" i="1"/>
  <c r="S7" i="1"/>
  <c r="Q7" i="1"/>
  <c r="O7" i="1"/>
  <c r="J7" i="1"/>
  <c r="D7" i="1"/>
  <c r="J6" i="1"/>
  <c r="D6" i="1"/>
  <c r="O5" i="1"/>
  <c r="J5" i="1"/>
  <c r="D5" i="1"/>
  <c r="S4" i="1"/>
  <c r="Q4" i="1"/>
  <c r="O4" i="1"/>
  <c r="J4" i="1"/>
  <c r="D4" i="1"/>
  <c r="S3" i="1"/>
  <c r="Q3" i="1"/>
  <c r="O3" i="1"/>
  <c r="J3" i="1"/>
  <c r="D3" i="1"/>
  <c r="S2" i="1"/>
  <c r="Q2" i="1"/>
  <c r="O2" i="1"/>
  <c r="J2" i="1"/>
  <c r="D2" i="1"/>
</calcChain>
</file>

<file path=xl/sharedStrings.xml><?xml version="1.0" encoding="utf-8"?>
<sst xmlns="http://schemas.openxmlformats.org/spreadsheetml/2006/main" count="2297" uniqueCount="335">
  <si>
    <t>ID</t>
  </si>
  <si>
    <t xml:space="preserve">NOMBRES Y APELLIDOS </t>
  </si>
  <si>
    <t>FECHA NACIMIENTO</t>
  </si>
  <si>
    <t>AÑOS</t>
  </si>
  <si>
    <t>SISBEN</t>
  </si>
  <si>
    <t>EAPB</t>
  </si>
  <si>
    <t>PORTABILIDAD</t>
  </si>
  <si>
    <t>NACIONALIDAD</t>
  </si>
  <si>
    <t>VALORACIÓN INTEGRAL</t>
  </si>
  <si>
    <t>PROX. CONTROL VALORACION INTEGRAL</t>
  </si>
  <si>
    <t>CARNET VACUNAS</t>
  </si>
  <si>
    <t>VACUNA COVID</t>
  </si>
  <si>
    <t xml:space="preserve">VACUNA PENDIENTE </t>
  </si>
  <si>
    <t>CONTROL ODONTOLOGICO</t>
  </si>
  <si>
    <t>PROXIMA CITA ODONTOLOGO</t>
  </si>
  <si>
    <t>FLUORIZACIÒN</t>
  </si>
  <si>
    <t>PROX. CONTROL FLUORIZACION</t>
  </si>
  <si>
    <t>DESPARACITACION</t>
  </si>
  <si>
    <t>PROX. CONTROL DESPARASITACION</t>
  </si>
  <si>
    <t>MICRONUTRIENTES</t>
  </si>
  <si>
    <t>TAMIZAJE AUDITIVO ( MENORES DE 6 MESES)</t>
  </si>
  <si>
    <t>TAMIZAJE VISUAL ( A LOS 3 AÑOS Y A LOS 5 AÑOS)</t>
  </si>
  <si>
    <t>COMPROMISO</t>
  </si>
  <si>
    <t>SEGUIMIENTO 1</t>
  </si>
  <si>
    <t>SEGUIMIENTO 2</t>
  </si>
  <si>
    <t>REPORTE ICBF</t>
  </si>
  <si>
    <t>DIAGNOSTICO CLÍNICO (DISCAPACIDAD)</t>
  </si>
  <si>
    <t>TIPO DE DIAGNOSTICO</t>
  </si>
  <si>
    <t>ALERTAS EN EL DESARROLLO</t>
  </si>
  <si>
    <t>TIPO DE ALERTA</t>
  </si>
  <si>
    <t>ASISTE A TERAPIAS</t>
  </si>
  <si>
    <t>ENTIDAD A LA QUE ASISTE</t>
  </si>
  <si>
    <t>OBSERVACIONES</t>
  </si>
  <si>
    <t>REVISJON  1</t>
  </si>
  <si>
    <t>REVISION 2</t>
  </si>
  <si>
    <t>REVISION 3</t>
  </si>
  <si>
    <t>CORREO</t>
  </si>
  <si>
    <t>María Torres</t>
  </si>
  <si>
    <t>SI MEDELLIN / B4</t>
  </si>
  <si>
    <t>SAVIA SALUD</t>
  </si>
  <si>
    <t>NO</t>
  </si>
  <si>
    <t>COLOMBIA</t>
  </si>
  <si>
    <t>COMPLETAS</t>
  </si>
  <si>
    <t>DISENTIMIENTO</t>
  </si>
  <si>
    <t>N/A</t>
  </si>
  <si>
    <t>SI</t>
  </si>
  <si>
    <t>iquintero@example.com</t>
  </si>
  <si>
    <t>Mauricio Polo</t>
  </si>
  <si>
    <t>SI MEDELLIN / B2</t>
  </si>
  <si>
    <t xml:space="preserve">COLOMBIA </t>
  </si>
  <si>
    <t xml:space="preserve">SR </t>
  </si>
  <si>
    <t>patricia57@example.com</t>
  </si>
  <si>
    <t>Alicia Flórez</t>
  </si>
  <si>
    <t>SURA</t>
  </si>
  <si>
    <t xml:space="preserve">NO </t>
  </si>
  <si>
    <t>INFLUENZA</t>
  </si>
  <si>
    <t>alba94@example.com</t>
  </si>
  <si>
    <t>Danilo Díaz</t>
  </si>
  <si>
    <t>SI BELLO / B2</t>
  </si>
  <si>
    <t>NO TIENE DENTADURA</t>
  </si>
  <si>
    <t>menajairo@example.org</t>
  </si>
  <si>
    <t>Andrés Núñez</t>
  </si>
  <si>
    <t>SI MEDELLIN / A5</t>
  </si>
  <si>
    <t>germanperdomo@example.com</t>
  </si>
  <si>
    <t>Henry López</t>
  </si>
  <si>
    <t>SI MEDELLIN /C14</t>
  </si>
  <si>
    <t>SR</t>
  </si>
  <si>
    <t>qgiraldo@example.org</t>
  </si>
  <si>
    <t>Claudia Ortega</t>
  </si>
  <si>
    <t>SI MEDELLIN /B1</t>
  </si>
  <si>
    <t>liliana35@example.com</t>
  </si>
  <si>
    <t>Claudia Figueroa</t>
  </si>
  <si>
    <t>SI MEDELLIN / C12</t>
  </si>
  <si>
    <t>ardilamarcela@example.com</t>
  </si>
  <si>
    <t>Carolina Caro</t>
  </si>
  <si>
    <t>SI MEDELLIN / B7</t>
  </si>
  <si>
    <t>buitragojuan@example.net</t>
  </si>
  <si>
    <t>Fabián Henao</t>
  </si>
  <si>
    <t>SI  MEDELLIN/ C1</t>
  </si>
  <si>
    <t>SALUD TOTAL</t>
  </si>
  <si>
    <t>romeromaria@example.org</t>
  </si>
  <si>
    <t>Johan Pineda</t>
  </si>
  <si>
    <t>SI MEDELLIN /B5</t>
  </si>
  <si>
    <t>quinterocampo@example.com</t>
  </si>
  <si>
    <t>Martha Ospina</t>
  </si>
  <si>
    <t>SI MEDELLIN /B6</t>
  </si>
  <si>
    <t>hernandezjose@example.org</t>
  </si>
  <si>
    <t>Liliana Martínez</t>
  </si>
  <si>
    <t>SI MEDELLIN / C9</t>
  </si>
  <si>
    <t>SANITAS</t>
  </si>
  <si>
    <t>enriquemosquera@example.com</t>
  </si>
  <si>
    <t>Jesús García</t>
  </si>
  <si>
    <t>SI MEDELLIN /C13</t>
  </si>
  <si>
    <t>lopezvictor@example.org</t>
  </si>
  <si>
    <t>Franklin Salazar</t>
  </si>
  <si>
    <t>gomezsandra@example.org</t>
  </si>
  <si>
    <t>Juan Arrieta</t>
  </si>
  <si>
    <t>SI MEDELLIN /C6</t>
  </si>
  <si>
    <t>MENOR DE 1 AÑO</t>
  </si>
  <si>
    <t>alejandrodiaz@example.com</t>
  </si>
  <si>
    <t>Dina Morales</t>
  </si>
  <si>
    <t>SI MEDELLIN / D21</t>
  </si>
  <si>
    <t>hildagiraldo@example.com</t>
  </si>
  <si>
    <t>Carlos Quiroga</t>
  </si>
  <si>
    <t>ncastro@example.com</t>
  </si>
  <si>
    <t>María Álvarez</t>
  </si>
  <si>
    <t>SI UNION, SUCRE / A4</t>
  </si>
  <si>
    <t>XX</t>
  </si>
  <si>
    <t>MENOR DE 6 MESES</t>
  </si>
  <si>
    <t>thernandez@example.net</t>
  </si>
  <si>
    <t>Henry Duarte</t>
  </si>
  <si>
    <t>SI MEDELLIN /C5</t>
  </si>
  <si>
    <t>imontoya@example.org</t>
  </si>
  <si>
    <t>Luis Mejía</t>
  </si>
  <si>
    <t>SI MEDELLIN / D7</t>
  </si>
  <si>
    <t>duquegloria@example.org</t>
  </si>
  <si>
    <t>Fernanda Murillo</t>
  </si>
  <si>
    <t>SI MEDELLIN /B2</t>
  </si>
  <si>
    <t>alberto55@example.com</t>
  </si>
  <si>
    <t>David Perdomo</t>
  </si>
  <si>
    <t>sortiz@example.net</t>
  </si>
  <si>
    <t>María Soto</t>
  </si>
  <si>
    <t>INFLUENZA / FIEBRE AMARILLA</t>
  </si>
  <si>
    <t>natalydiaz@example.net</t>
  </si>
  <si>
    <t>Enrique Álvarez</t>
  </si>
  <si>
    <t>SI MEDELLIN / C18</t>
  </si>
  <si>
    <t>mejiamiriam@example.com</t>
  </si>
  <si>
    <t>Dolores Suárez</t>
  </si>
  <si>
    <t>gonzalezpatricia@example.net</t>
  </si>
  <si>
    <t>Santos Muñoz</t>
  </si>
  <si>
    <t>molinaoscar@example.org</t>
  </si>
  <si>
    <t>Faber Muñoz</t>
  </si>
  <si>
    <t>SI MEDELLIN / C8</t>
  </si>
  <si>
    <t>NUEVA EPS</t>
  </si>
  <si>
    <t>fernandoanaya@example.org</t>
  </si>
  <si>
    <t>Gabriel Hernández</t>
  </si>
  <si>
    <t>Iván Silva</t>
  </si>
  <si>
    <t>Michael Alzate</t>
  </si>
  <si>
    <t>Jesús González</t>
  </si>
  <si>
    <t>Carlos Medina</t>
  </si>
  <si>
    <t>Isabel Gómez</t>
  </si>
  <si>
    <t>Alexander Moreno</t>
  </si>
  <si>
    <t>Stiven Giraldo</t>
  </si>
  <si>
    <t>David Galeano</t>
  </si>
  <si>
    <t>Manuel Vargas</t>
  </si>
  <si>
    <t>Gladys Sánchez</t>
  </si>
  <si>
    <t>Vanesa Cano</t>
  </si>
  <si>
    <t>Luis Sánchez</t>
  </si>
  <si>
    <t>Sandra Mendoza</t>
  </si>
  <si>
    <t>Ángela Pinto</t>
  </si>
  <si>
    <t>David Gómez</t>
  </si>
  <si>
    <t>Victoria Trujillo</t>
  </si>
  <si>
    <t>Kevin Gaviria</t>
  </si>
  <si>
    <t>Óscar Rosero</t>
  </si>
  <si>
    <t>Erika Murcia</t>
  </si>
  <si>
    <t>Vladimir Gutiérrez</t>
  </si>
  <si>
    <t>Yulieth Roa</t>
  </si>
  <si>
    <t>Esteban Hernández</t>
  </si>
  <si>
    <t>Frank Herrera</t>
  </si>
  <si>
    <t>Alejandro Cortés</t>
  </si>
  <si>
    <t>Pablo Quintero</t>
  </si>
  <si>
    <t>Deisy Hernández</t>
  </si>
  <si>
    <t>Anyi García</t>
  </si>
  <si>
    <t>jessica56@example.com</t>
  </si>
  <si>
    <t>xjimenez@example.net</t>
  </si>
  <si>
    <t>María Jaramillo</t>
  </si>
  <si>
    <t>ana06@example.com</t>
  </si>
  <si>
    <t>Adriana Fajardo</t>
  </si>
  <si>
    <t>riosvictor@example.org</t>
  </si>
  <si>
    <t>Alberto Carvajal</t>
  </si>
  <si>
    <t>garciahernando@example.com</t>
  </si>
  <si>
    <t>Kelly Escobar</t>
  </si>
  <si>
    <t>dayanagonzalez@example.com</t>
  </si>
  <si>
    <t>Tulia Vargas</t>
  </si>
  <si>
    <t>carolina65@example.org</t>
  </si>
  <si>
    <t>José Barragán</t>
  </si>
  <si>
    <t>xvasquez@example.com</t>
  </si>
  <si>
    <t>Eduardo Gutiérrez</t>
  </si>
  <si>
    <t>ymosquera@example.net</t>
  </si>
  <si>
    <t>Orlando Arias</t>
  </si>
  <si>
    <t>caroedith@example.net</t>
  </si>
  <si>
    <t>Juan Sánchez</t>
  </si>
  <si>
    <t>diazluz@example.org</t>
  </si>
  <si>
    <t>Jairo Muñoz</t>
  </si>
  <si>
    <t>contrerasrosa@example.com</t>
  </si>
  <si>
    <t>Blanca Mendoza</t>
  </si>
  <si>
    <t>victor44@example.com</t>
  </si>
  <si>
    <t>Vicente González</t>
  </si>
  <si>
    <t>verajairo@example.org</t>
  </si>
  <si>
    <t>Deisy Ramírez</t>
  </si>
  <si>
    <t>hoyoscarlos@example.org</t>
  </si>
  <si>
    <t>Cristian Lozano</t>
  </si>
  <si>
    <t>oscar87@example.com</t>
  </si>
  <si>
    <t>Patricia Becerra</t>
  </si>
  <si>
    <t>carolinacalderon@example.com</t>
  </si>
  <si>
    <t>Rosa Romero</t>
  </si>
  <si>
    <t>riverajulieth@example.net</t>
  </si>
  <si>
    <t>Fernando Delgado</t>
  </si>
  <si>
    <t>ballesterosvalentina@example.com</t>
  </si>
  <si>
    <t>Olga Castillo</t>
  </si>
  <si>
    <t>sandra88@example.com</t>
  </si>
  <si>
    <t>Lucy Niño</t>
  </si>
  <si>
    <t>ybarrios@example.net</t>
  </si>
  <si>
    <t>Johanna García</t>
  </si>
  <si>
    <t>vasquezalexandra@example.org</t>
  </si>
  <si>
    <t>Jorge Gómez</t>
  </si>
  <si>
    <t>andres83@example.com</t>
  </si>
  <si>
    <t>María Suárez</t>
  </si>
  <si>
    <t>nhernandez@example.com</t>
  </si>
  <si>
    <t>Amanda Gómez</t>
  </si>
  <si>
    <t>jairo35@example.org</t>
  </si>
  <si>
    <t>José Medina</t>
  </si>
  <si>
    <t>fonsecaalexander@example.com</t>
  </si>
  <si>
    <t>José Hernández</t>
  </si>
  <si>
    <t>hermes27@example.com</t>
  </si>
  <si>
    <t>Vanessa García</t>
  </si>
  <si>
    <t>tfernandez@example.com</t>
  </si>
  <si>
    <t>Margarita Ortiz</t>
  </si>
  <si>
    <t>chaparrofelipe@example.com</t>
  </si>
  <si>
    <t>Lorenzo Zambrano</t>
  </si>
  <si>
    <t>benjamintorres@example.com</t>
  </si>
  <si>
    <t>José Muñoz</t>
  </si>
  <si>
    <t>perezeduar@example.org</t>
  </si>
  <si>
    <t>Edgar Guevara</t>
  </si>
  <si>
    <t>maria25@example.net</t>
  </si>
  <si>
    <t>Leidy Rodríguez</t>
  </si>
  <si>
    <t>mariacastillo@example.net</t>
  </si>
  <si>
    <t>Edison Cárdenas</t>
  </si>
  <si>
    <t>pbautista@example.net</t>
  </si>
  <si>
    <t>Jhon Rendón</t>
  </si>
  <si>
    <t>gonzalezeduardo@example.com</t>
  </si>
  <si>
    <t>Lorena Murcia</t>
  </si>
  <si>
    <t>arturogarcia@example.org</t>
  </si>
  <si>
    <t>Luz Quintero</t>
  </si>
  <si>
    <t>henaomaria@example.net</t>
  </si>
  <si>
    <t>Rafael Fuentes</t>
  </si>
  <si>
    <t>beatrizmoreno@example.com</t>
  </si>
  <si>
    <t>Johana Rodríguez</t>
  </si>
  <si>
    <t>guillermo12@example.net</t>
  </si>
  <si>
    <t>Dary Suárez</t>
  </si>
  <si>
    <t>salazarmaria@example.org</t>
  </si>
  <si>
    <t>Alexandra Martínez</t>
  </si>
  <si>
    <t>fernandoromero@example.com</t>
  </si>
  <si>
    <t>Fredy Jiménez</t>
  </si>
  <si>
    <t>carmen95@example.net</t>
  </si>
  <si>
    <t>Rosario León</t>
  </si>
  <si>
    <t>mario05@example.net</t>
  </si>
  <si>
    <t>Norbey Bernal</t>
  </si>
  <si>
    <t>cristina86@example.com</t>
  </si>
  <si>
    <t>Esperanza Acosta</t>
  </si>
  <si>
    <t>ninojulieth@example.org</t>
  </si>
  <si>
    <t>Jorge Romero</t>
  </si>
  <si>
    <t>ceciliadiaz@example.com</t>
  </si>
  <si>
    <t>Benjamín Pérez</t>
  </si>
  <si>
    <t>jesusibarra@example.net</t>
  </si>
  <si>
    <t>Giovanny Moreno</t>
  </si>
  <si>
    <t>martinezcarlos@example.net</t>
  </si>
  <si>
    <t>Andrés Gutiérrez</t>
  </si>
  <si>
    <t>rcalderon@example.org</t>
  </si>
  <si>
    <t>Ángela Salamanca</t>
  </si>
  <si>
    <t>trios@example.com</t>
  </si>
  <si>
    <t>David Bohórquez</t>
  </si>
  <si>
    <t>frankrodriguez@example.org</t>
  </si>
  <si>
    <t>Isabel Hernández</t>
  </si>
  <si>
    <t>cristina35@example.com</t>
  </si>
  <si>
    <t>Elena Martínez</t>
  </si>
  <si>
    <t>joseperez@example.net</t>
  </si>
  <si>
    <t>Edwin Ortiz</t>
  </si>
  <si>
    <t>dguerrero@example.com</t>
  </si>
  <si>
    <t>Alejandro Reyes</t>
  </si>
  <si>
    <t>yvalencia@example.org</t>
  </si>
  <si>
    <t>Adrián Carvajal</t>
  </si>
  <si>
    <t>guerrajorge@example.net</t>
  </si>
  <si>
    <t>Yeison Pérez</t>
  </si>
  <si>
    <t>alejandrabernal@example.org</t>
  </si>
  <si>
    <t>Esther Quiroga</t>
  </si>
  <si>
    <t>uribeedwin@example.org</t>
  </si>
  <si>
    <t>Lucía Morales</t>
  </si>
  <si>
    <t>jorgedaza@example.net</t>
  </si>
  <si>
    <t>Hugo Escobar</t>
  </si>
  <si>
    <t>julian08@example.org</t>
  </si>
  <si>
    <t>Juan Acevedo</t>
  </si>
  <si>
    <t>maria74@example.org</t>
  </si>
  <si>
    <t>Irene Cortés</t>
  </si>
  <si>
    <t>martha60@example.net</t>
  </si>
  <si>
    <t>Antonio Andrade</t>
  </si>
  <si>
    <t>zuluagaalvaro@example.com</t>
  </si>
  <si>
    <t>Giovanny Rodríguez</t>
  </si>
  <si>
    <t>bibianarojas@example.org</t>
  </si>
  <si>
    <t>Paola Castellanos</t>
  </si>
  <si>
    <t>isabel71@example.com</t>
  </si>
  <si>
    <t>Antonio Hernández</t>
  </si>
  <si>
    <t>obarrera@example.com</t>
  </si>
  <si>
    <t>Elizabeth Díaz</t>
  </si>
  <si>
    <t>walvarez@example.org</t>
  </si>
  <si>
    <t>Lucía Santos</t>
  </si>
  <si>
    <t>pulidoesther@example.org</t>
  </si>
  <si>
    <t>María Parra</t>
  </si>
  <si>
    <t>arrietamaria@example.org</t>
  </si>
  <si>
    <t>Alfonso Gómez</t>
  </si>
  <si>
    <t>milena17@example.com</t>
  </si>
  <si>
    <t>José Camargo</t>
  </si>
  <si>
    <t>davidleal@example.org</t>
  </si>
  <si>
    <t>Ignacio Mosquera</t>
  </si>
  <si>
    <t>silvia82@example.org</t>
  </si>
  <si>
    <t>Liliana Chávez</t>
  </si>
  <si>
    <t>alejandraherrera@example.net</t>
  </si>
  <si>
    <t>Nidia Rodríguez</t>
  </si>
  <si>
    <t>dary46@example.org</t>
  </si>
  <si>
    <t>Michel Alzate</t>
  </si>
  <si>
    <t>judith37@example.com</t>
  </si>
  <si>
    <t>Juan Romero</t>
  </si>
  <si>
    <t>walter02@example.com</t>
  </si>
  <si>
    <t>Marcela Mosquera</t>
  </si>
  <si>
    <t>sanchezvictor@example.org</t>
  </si>
  <si>
    <t>Liliana Ávila</t>
  </si>
  <si>
    <t>david92@example.org</t>
  </si>
  <si>
    <t>Natalia Gil</t>
  </si>
  <si>
    <t>rocioramos@example.org</t>
  </si>
  <si>
    <t>Miguel Silva</t>
  </si>
  <si>
    <t>ucaballero@example.org</t>
  </si>
  <si>
    <t>Daniel Beltrán</t>
  </si>
  <si>
    <t>alfonso82@example.net</t>
  </si>
  <si>
    <t>Alexander Cardona</t>
  </si>
  <si>
    <t>maria31@example.net</t>
  </si>
  <si>
    <t>Juan Rojas</t>
  </si>
  <si>
    <t>gmunoz@example.com</t>
  </si>
  <si>
    <t>Juan Galvis</t>
  </si>
  <si>
    <t>laura16@example.org</t>
  </si>
  <si>
    <t>Alejandra Toro</t>
  </si>
  <si>
    <t>hsarmiento@example.net</t>
  </si>
  <si>
    <t>Andrés Suárez</t>
  </si>
  <si>
    <t>murillowilson@example.net</t>
  </si>
  <si>
    <t>CORREO ACUDIENTE</t>
  </si>
  <si>
    <t>oscargoezhenao@gmail.com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</si>
</sst>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scargoezhenao@gmail.com" TargetMode="External"/><Relationship Id="rId1" Type="http://schemas.openxmlformats.org/officeDocument/2006/relationships/hyperlink" Target="mailto:oscargoezhena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1"/>
  <sheetViews>
    <sheetView tabSelected="1" workbookViewId="0">
      <selection activeCell="C34" sqref="C34"/>
    </sheetView>
  </sheetViews>
  <sheetFormatPr baseColWidth="10" defaultRowHeight="15" x14ac:dyDescent="0.25"/>
  <cols>
    <col min="1" max="1" width="11" bestFit="1" customWidth="1"/>
    <col min="2" max="2" width="21.85546875" bestFit="1" customWidth="1"/>
    <col min="3" max="3" width="18.85546875" bestFit="1" customWidth="1"/>
    <col min="4" max="4" width="15.140625" bestFit="1" customWidth="1"/>
    <col min="5" max="5" width="19.85546875" bestFit="1" customWidth="1"/>
    <col min="6" max="6" width="12.7109375" bestFit="1" customWidth="1"/>
    <col min="7" max="7" width="14" bestFit="1" customWidth="1"/>
    <col min="8" max="8" width="14.85546875" bestFit="1" customWidth="1"/>
    <col min="9" max="9" width="22.140625" bestFit="1" customWidth="1"/>
    <col min="10" max="10" width="37.28515625" bestFit="1" customWidth="1"/>
    <col min="11" max="11" width="17.28515625" bestFit="1" customWidth="1"/>
    <col min="12" max="12" width="15" bestFit="1" customWidth="1"/>
    <col min="13" max="13" width="28.28515625" bestFit="1" customWidth="1"/>
    <col min="14" max="14" width="24.85546875" bestFit="1" customWidth="1"/>
    <col min="15" max="15" width="27.7109375" bestFit="1" customWidth="1"/>
    <col min="16" max="16" width="20.85546875" bestFit="1" customWidth="1"/>
    <col min="17" max="17" width="29.28515625" bestFit="1" customWidth="1"/>
    <col min="18" max="18" width="17.85546875" bestFit="1" customWidth="1"/>
    <col min="19" max="19" width="32.85546875" bestFit="1" customWidth="1"/>
    <col min="20" max="20" width="18" bestFit="1" customWidth="1"/>
    <col min="37" max="37" width="29.5703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3" t="s">
        <v>333</v>
      </c>
    </row>
    <row r="2" spans="1:37" x14ac:dyDescent="0.25">
      <c r="A2">
        <v>1017284845</v>
      </c>
      <c r="B2" t="s">
        <v>37</v>
      </c>
      <c r="C2" s="1">
        <v>44785</v>
      </c>
      <c r="D2" t="str">
        <f t="shared" ref="D2:D29" ca="1" si="0">DATEDIF(C2,TODAY(),"Y") &amp; " año" &amp; IF(DATEDIF(C2,TODAY(),"Y")=1,"","s")&amp; " " &amp; DATEDIF(C2,TODAY(),"YM") &amp; " mes"&amp; IF(DATEDIF(C2,TODAY(),"YM")=1,"","es")</f>
        <v>3 años 2 meses</v>
      </c>
      <c r="E2" t="s">
        <v>38</v>
      </c>
      <c r="F2" t="s">
        <v>39</v>
      </c>
      <c r="G2" t="s">
        <v>40</v>
      </c>
      <c r="H2" t="s">
        <v>41</v>
      </c>
      <c r="I2" s="2">
        <v>45925</v>
      </c>
      <c r="J2" s="2">
        <f t="shared" ref="J2:J29" ca="1" si="1">IFERROR(IF(DATEDIF(C2,TODAY(),"Y")&gt;=1,DATE(YEAR(I2),MONTH(I2)+6,DAY(I2)),DATE(YEAR(I2),MONTH(I2)+3,DAY(I2))),"NO")</f>
        <v>46106</v>
      </c>
      <c r="K2" t="s">
        <v>42</v>
      </c>
      <c r="L2" t="s">
        <v>43</v>
      </c>
      <c r="M2" t="s">
        <v>44</v>
      </c>
      <c r="N2" s="2">
        <v>45895</v>
      </c>
      <c r="O2" s="2">
        <f>IFERROR(DATE(YEAR(N2)+1,MONTH(N2),DAY(N2)),"")</f>
        <v>46260</v>
      </c>
      <c r="P2" s="2">
        <v>45895</v>
      </c>
      <c r="Q2" s="2">
        <f>IFERROR(DATE(YEAR(P2),MONTH(P2)+6,DAY(P2)),"")</f>
        <v>46079</v>
      </c>
      <c r="R2" s="2">
        <v>45777</v>
      </c>
      <c r="S2" s="2">
        <f>IFERROR(DATE(YEAR(R2),MONTH(R2)+6,DAY(R2)),"")</f>
        <v>45960</v>
      </c>
      <c r="T2" s="2">
        <v>45777</v>
      </c>
      <c r="U2" t="s">
        <v>44</v>
      </c>
      <c r="V2" t="s">
        <v>44</v>
      </c>
      <c r="W2" t="s">
        <v>45</v>
      </c>
      <c r="X2" t="s">
        <v>40</v>
      </c>
      <c r="AA2" t="s">
        <v>44</v>
      </c>
      <c r="AK2" s="4" t="s">
        <v>334</v>
      </c>
    </row>
    <row r="3" spans="1:37" x14ac:dyDescent="0.25">
      <c r="A3">
        <v>1034933328</v>
      </c>
      <c r="B3" t="s">
        <v>47</v>
      </c>
      <c r="C3" s="1">
        <v>42523</v>
      </c>
      <c r="D3" t="str">
        <f t="shared" ca="1" si="0"/>
        <v>9 años 5 meses</v>
      </c>
      <c r="E3" t="s">
        <v>48</v>
      </c>
      <c r="F3" t="s">
        <v>39</v>
      </c>
      <c r="G3" t="s">
        <v>40</v>
      </c>
      <c r="H3" t="s">
        <v>49</v>
      </c>
      <c r="I3" s="2">
        <v>45925</v>
      </c>
      <c r="J3" s="2">
        <f t="shared" ca="1" si="1"/>
        <v>46106</v>
      </c>
      <c r="K3" t="s">
        <v>42</v>
      </c>
      <c r="L3" t="s">
        <v>43</v>
      </c>
      <c r="M3" t="s">
        <v>50</v>
      </c>
      <c r="N3" s="2">
        <v>45929</v>
      </c>
      <c r="O3" s="2">
        <f>IFERROR(DATE(YEAR(N3)+1,MONTH(N3),DAY(N3)),"")</f>
        <v>46294</v>
      </c>
      <c r="P3" s="2">
        <v>45929</v>
      </c>
      <c r="Q3" s="2">
        <f>IFERROR(DATE(YEAR(P3),MONTH(P3)+6,DAY(P3)),"")</f>
        <v>46110</v>
      </c>
      <c r="R3" s="2">
        <v>45925</v>
      </c>
      <c r="S3" s="2">
        <f>IFERROR(DATE(YEAR(R3),MONTH(R3)+6,DAY(R3)),"")</f>
        <v>46106</v>
      </c>
      <c r="T3" s="2">
        <v>45580</v>
      </c>
      <c r="U3" t="s">
        <v>44</v>
      </c>
      <c r="V3" t="s">
        <v>44</v>
      </c>
      <c r="W3" t="s">
        <v>45</v>
      </c>
      <c r="X3" t="s">
        <v>45</v>
      </c>
      <c r="Y3" t="s">
        <v>40</v>
      </c>
      <c r="AA3" t="s">
        <v>44</v>
      </c>
      <c r="AK3" t="s">
        <v>51</v>
      </c>
    </row>
    <row r="4" spans="1:37" x14ac:dyDescent="0.25">
      <c r="A4">
        <v>1020244540</v>
      </c>
      <c r="B4" t="s">
        <v>52</v>
      </c>
      <c r="C4" s="1">
        <v>43244</v>
      </c>
      <c r="D4" t="str">
        <f t="shared" ca="1" si="0"/>
        <v>7 años 5 meses</v>
      </c>
      <c r="E4" t="s">
        <v>40</v>
      </c>
      <c r="F4" t="s">
        <v>53</v>
      </c>
      <c r="G4" t="s">
        <v>54</v>
      </c>
      <c r="H4" t="s">
        <v>49</v>
      </c>
      <c r="I4" s="2">
        <v>45805</v>
      </c>
      <c r="J4" s="2">
        <f t="shared" ca="1" si="1"/>
        <v>45989</v>
      </c>
      <c r="K4" t="s">
        <v>42</v>
      </c>
      <c r="L4" t="s">
        <v>43</v>
      </c>
      <c r="M4" t="s">
        <v>55</v>
      </c>
      <c r="N4" s="2">
        <v>45901</v>
      </c>
      <c r="O4" s="2">
        <f>IFERROR(DATE(YEAR(N4)+1,MONTH(N4),DAY(N4)),"")</f>
        <v>46266</v>
      </c>
      <c r="P4" s="2">
        <v>45901</v>
      </c>
      <c r="Q4" s="2">
        <f>IFERROR(DATE(YEAR(P4),MONTH(P4)+6,DAY(P4)),"")</f>
        <v>46082</v>
      </c>
      <c r="R4" s="2">
        <v>45717</v>
      </c>
      <c r="S4" s="2">
        <f>IFERROR(DATE(YEAR(R4),MONTH(R4)+6,DAY(R4)),"")</f>
        <v>45901</v>
      </c>
      <c r="T4" s="2">
        <v>45717</v>
      </c>
      <c r="U4" t="s">
        <v>44</v>
      </c>
      <c r="V4" t="s">
        <v>44</v>
      </c>
      <c r="W4" t="s">
        <v>45</v>
      </c>
      <c r="X4" t="s">
        <v>45</v>
      </c>
      <c r="Y4" t="s">
        <v>40</v>
      </c>
      <c r="AA4" t="s">
        <v>44</v>
      </c>
      <c r="AK4" t="s">
        <v>56</v>
      </c>
    </row>
    <row r="5" spans="1:37" x14ac:dyDescent="0.25">
      <c r="A5">
        <v>1020246172</v>
      </c>
      <c r="B5" t="s">
        <v>57</v>
      </c>
      <c r="C5" s="1">
        <v>44601</v>
      </c>
      <c r="D5" t="str">
        <f t="shared" ca="1" si="0"/>
        <v>3 años 8 meses</v>
      </c>
      <c r="E5" t="s">
        <v>58</v>
      </c>
      <c r="F5" t="s">
        <v>53</v>
      </c>
      <c r="G5" t="s">
        <v>40</v>
      </c>
      <c r="H5" t="s">
        <v>41</v>
      </c>
      <c r="I5" s="2">
        <v>45875</v>
      </c>
      <c r="J5" s="2">
        <f t="shared" ca="1" si="1"/>
        <v>46059</v>
      </c>
      <c r="K5" t="s">
        <v>42</v>
      </c>
      <c r="L5" t="s">
        <v>43</v>
      </c>
      <c r="M5" t="s">
        <v>44</v>
      </c>
      <c r="N5" s="2">
        <v>45869</v>
      </c>
      <c r="O5" s="2">
        <f>IFERROR(DATE(YEAR(N5)+1,MONTH(N5),DAY(N5)),"")</f>
        <v>46234</v>
      </c>
      <c r="P5" t="s">
        <v>59</v>
      </c>
      <c r="Q5" t="s">
        <v>44</v>
      </c>
      <c r="R5" t="s">
        <v>40</v>
      </c>
      <c r="T5" t="s">
        <v>40</v>
      </c>
      <c r="U5" t="s">
        <v>44</v>
      </c>
      <c r="V5" t="s">
        <v>44</v>
      </c>
      <c r="W5" t="s">
        <v>45</v>
      </c>
      <c r="AA5" t="s">
        <v>44</v>
      </c>
      <c r="AK5" t="s">
        <v>60</v>
      </c>
    </row>
    <row r="6" spans="1:37" x14ac:dyDescent="0.25">
      <c r="A6">
        <v>1034933822</v>
      </c>
      <c r="B6" t="s">
        <v>61</v>
      </c>
      <c r="C6" s="1">
        <v>43484</v>
      </c>
      <c r="D6" t="str">
        <f t="shared" ca="1" si="0"/>
        <v>6 años 9 meses</v>
      </c>
      <c r="E6" t="s">
        <v>62</v>
      </c>
      <c r="F6" t="s">
        <v>53</v>
      </c>
      <c r="G6" t="s">
        <v>54</v>
      </c>
      <c r="H6" t="s">
        <v>49</v>
      </c>
      <c r="I6" s="2">
        <v>45820</v>
      </c>
      <c r="J6" s="2">
        <f t="shared" ca="1" si="1"/>
        <v>46003</v>
      </c>
      <c r="K6" t="s">
        <v>42</v>
      </c>
      <c r="L6" t="s">
        <v>43</v>
      </c>
      <c r="M6" t="s">
        <v>44</v>
      </c>
      <c r="N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44</v>
      </c>
      <c r="V6" t="s">
        <v>44</v>
      </c>
      <c r="W6" t="s">
        <v>45</v>
      </c>
      <c r="AK6" s="4" t="s">
        <v>334</v>
      </c>
    </row>
    <row r="7" spans="1:37" x14ac:dyDescent="0.25">
      <c r="A7">
        <v>1017284529</v>
      </c>
      <c r="B7" t="s">
        <v>64</v>
      </c>
      <c r="C7" s="1">
        <v>42135</v>
      </c>
      <c r="D7" t="str">
        <f t="shared" ca="1" si="0"/>
        <v>10 años 5 meses</v>
      </c>
      <c r="E7" t="s">
        <v>65</v>
      </c>
      <c r="F7" t="s">
        <v>53</v>
      </c>
      <c r="G7" t="s">
        <v>40</v>
      </c>
      <c r="H7" t="s">
        <v>49</v>
      </c>
      <c r="I7" s="2">
        <v>45758</v>
      </c>
      <c r="J7" s="2">
        <f t="shared" ca="1" si="1"/>
        <v>45941</v>
      </c>
      <c r="K7" t="s">
        <v>42</v>
      </c>
      <c r="L7" t="s">
        <v>43</v>
      </c>
      <c r="M7" t="s">
        <v>66</v>
      </c>
      <c r="N7" s="2">
        <v>45776</v>
      </c>
      <c r="O7" s="2">
        <f t="shared" ref="O7:O15" si="2">IFERROR(DATE(YEAR(N7)+1,MONTH(N7),DAY(N7)),"")</f>
        <v>46141</v>
      </c>
      <c r="P7" s="2">
        <v>45776</v>
      </c>
      <c r="Q7" s="2">
        <f t="shared" ref="Q7:Q15" si="3">IFERROR(DATE(YEAR(P7),MONTH(P7)+6,DAY(P7)),"")</f>
        <v>45959</v>
      </c>
      <c r="R7" s="2">
        <v>45916</v>
      </c>
      <c r="S7" s="2">
        <f t="shared" ref="S7:S14" si="4">IFERROR(DATE(YEAR(R7),MONTH(R7)+6,DAY(R7)),"")</f>
        <v>46097</v>
      </c>
      <c r="T7" t="s">
        <v>40</v>
      </c>
      <c r="U7" t="s">
        <v>45</v>
      </c>
      <c r="V7" t="s">
        <v>44</v>
      </c>
      <c r="W7" t="s">
        <v>45</v>
      </c>
      <c r="X7" t="s">
        <v>45</v>
      </c>
      <c r="Y7" t="s">
        <v>40</v>
      </c>
      <c r="AA7" t="s">
        <v>44</v>
      </c>
      <c r="AK7" t="s">
        <v>67</v>
      </c>
    </row>
    <row r="8" spans="1:37" x14ac:dyDescent="0.25">
      <c r="A8">
        <v>1013382739</v>
      </c>
      <c r="B8" t="s">
        <v>68</v>
      </c>
      <c r="C8" s="1">
        <v>42107</v>
      </c>
      <c r="D8" t="str">
        <f t="shared" ca="1" si="0"/>
        <v>10 años 6 meses</v>
      </c>
      <c r="E8" t="s">
        <v>69</v>
      </c>
      <c r="F8" t="s">
        <v>39</v>
      </c>
      <c r="G8" t="s">
        <v>40</v>
      </c>
      <c r="H8" t="s">
        <v>49</v>
      </c>
      <c r="I8" s="2">
        <v>45860</v>
      </c>
      <c r="J8" s="2">
        <f t="shared" ca="1" si="1"/>
        <v>46044</v>
      </c>
      <c r="K8" t="s">
        <v>42</v>
      </c>
      <c r="L8" t="s">
        <v>43</v>
      </c>
      <c r="M8" t="s">
        <v>44</v>
      </c>
      <c r="N8" s="2">
        <v>45635</v>
      </c>
      <c r="O8" s="2">
        <f t="shared" si="2"/>
        <v>46000</v>
      </c>
      <c r="P8" s="2">
        <v>45806</v>
      </c>
      <c r="Q8" s="2">
        <f t="shared" si="3"/>
        <v>45990</v>
      </c>
      <c r="R8" s="2">
        <v>45860</v>
      </c>
      <c r="S8" s="2">
        <f t="shared" si="4"/>
        <v>46044</v>
      </c>
      <c r="T8" s="2">
        <v>45860</v>
      </c>
      <c r="U8" t="s">
        <v>44</v>
      </c>
      <c r="V8" t="s">
        <v>44</v>
      </c>
      <c r="W8" t="s">
        <v>40</v>
      </c>
      <c r="X8" t="s">
        <v>40</v>
      </c>
      <c r="AA8" t="s">
        <v>44</v>
      </c>
      <c r="AK8" t="s">
        <v>70</v>
      </c>
    </row>
    <row r="9" spans="1:37" x14ac:dyDescent="0.25">
      <c r="A9">
        <v>1013382637</v>
      </c>
      <c r="B9" t="s">
        <v>71</v>
      </c>
      <c r="C9" s="1">
        <v>44849</v>
      </c>
      <c r="D9" t="str">
        <f t="shared" ca="1" si="0"/>
        <v>3 años 0 meses</v>
      </c>
      <c r="E9" t="s">
        <v>72</v>
      </c>
      <c r="F9" t="s">
        <v>53</v>
      </c>
      <c r="G9" t="s">
        <v>40</v>
      </c>
      <c r="H9" t="s">
        <v>49</v>
      </c>
      <c r="I9" s="2">
        <v>45860</v>
      </c>
      <c r="J9" s="2">
        <f t="shared" ca="1" si="1"/>
        <v>46044</v>
      </c>
      <c r="K9" t="s">
        <v>42</v>
      </c>
      <c r="L9" t="s">
        <v>43</v>
      </c>
      <c r="M9" t="s">
        <v>66</v>
      </c>
      <c r="N9" s="2">
        <v>45932</v>
      </c>
      <c r="O9" s="2">
        <f t="shared" si="2"/>
        <v>46297</v>
      </c>
      <c r="P9" s="2">
        <v>45932</v>
      </c>
      <c r="Q9" s="2">
        <f t="shared" si="3"/>
        <v>46114</v>
      </c>
      <c r="R9" s="2">
        <v>45860</v>
      </c>
      <c r="S9" s="2">
        <f t="shared" si="4"/>
        <v>46044</v>
      </c>
      <c r="T9" s="2">
        <v>45860</v>
      </c>
      <c r="U9" t="s">
        <v>44</v>
      </c>
      <c r="V9" t="s">
        <v>44</v>
      </c>
      <c r="W9" t="s">
        <v>45</v>
      </c>
      <c r="X9" t="s">
        <v>45</v>
      </c>
      <c r="AA9" t="s">
        <v>44</v>
      </c>
      <c r="AK9" t="s">
        <v>73</v>
      </c>
    </row>
    <row r="10" spans="1:37" x14ac:dyDescent="0.25">
      <c r="A10">
        <v>1023567318</v>
      </c>
      <c r="B10" t="s">
        <v>74</v>
      </c>
      <c r="C10" s="1">
        <v>45499</v>
      </c>
      <c r="D10" t="str">
        <f t="shared" ca="1" si="0"/>
        <v>1 año 3 meses</v>
      </c>
      <c r="E10" t="s">
        <v>75</v>
      </c>
      <c r="F10" t="s">
        <v>53</v>
      </c>
      <c r="G10" t="s">
        <v>40</v>
      </c>
      <c r="H10" t="s">
        <v>49</v>
      </c>
      <c r="I10" s="2">
        <v>45797</v>
      </c>
      <c r="J10" s="2">
        <f t="shared" ca="1" si="1"/>
        <v>45981</v>
      </c>
      <c r="K10" t="s">
        <v>42</v>
      </c>
      <c r="L10" t="s">
        <v>43</v>
      </c>
      <c r="M10" t="s">
        <v>44</v>
      </c>
      <c r="N10" s="2">
        <v>45930</v>
      </c>
      <c r="O10" s="2">
        <f t="shared" si="2"/>
        <v>46295</v>
      </c>
      <c r="P10" s="2">
        <v>45930</v>
      </c>
      <c r="Q10" s="2">
        <f t="shared" si="3"/>
        <v>46111</v>
      </c>
      <c r="R10" s="2">
        <v>45889</v>
      </c>
      <c r="S10" s="2">
        <f t="shared" si="4"/>
        <v>46073</v>
      </c>
      <c r="T10" s="2">
        <v>45685</v>
      </c>
      <c r="U10" t="s">
        <v>44</v>
      </c>
      <c r="V10" t="s">
        <v>44</v>
      </c>
      <c r="W10" t="s">
        <v>45</v>
      </c>
      <c r="X10" t="s">
        <v>40</v>
      </c>
      <c r="AA10" t="s">
        <v>44</v>
      </c>
      <c r="AK10" t="s">
        <v>76</v>
      </c>
    </row>
    <row r="11" spans="1:37" x14ac:dyDescent="0.25">
      <c r="A11">
        <v>1013384609</v>
      </c>
      <c r="B11" t="s">
        <v>77</v>
      </c>
      <c r="C11" s="1">
        <v>45520</v>
      </c>
      <c r="D11" t="str">
        <f t="shared" ca="1" si="0"/>
        <v>1 año 2 meses</v>
      </c>
      <c r="E11" t="s">
        <v>78</v>
      </c>
      <c r="F11" t="s">
        <v>79</v>
      </c>
      <c r="G11" t="s">
        <v>54</v>
      </c>
      <c r="H11" t="s">
        <v>41</v>
      </c>
      <c r="I11" s="2">
        <v>45923</v>
      </c>
      <c r="J11" s="2">
        <f t="shared" ca="1" si="1"/>
        <v>46104</v>
      </c>
      <c r="K11" t="s">
        <v>42</v>
      </c>
      <c r="L11" t="s">
        <v>43</v>
      </c>
      <c r="M11" t="s">
        <v>44</v>
      </c>
      <c r="N11" s="2">
        <v>45749</v>
      </c>
      <c r="O11" s="2">
        <f t="shared" si="2"/>
        <v>46114</v>
      </c>
      <c r="P11" s="2">
        <v>45749</v>
      </c>
      <c r="Q11" s="2">
        <f t="shared" si="3"/>
        <v>45932</v>
      </c>
      <c r="R11" s="2">
        <v>45923</v>
      </c>
      <c r="S11" s="2">
        <f t="shared" si="4"/>
        <v>46104</v>
      </c>
      <c r="T11" s="2">
        <v>45785</v>
      </c>
      <c r="U11" t="s">
        <v>45</v>
      </c>
      <c r="V11" t="s">
        <v>44</v>
      </c>
      <c r="W11" t="s">
        <v>45</v>
      </c>
      <c r="X11" t="s">
        <v>40</v>
      </c>
      <c r="AA11" t="s">
        <v>44</v>
      </c>
      <c r="AK11" t="s">
        <v>80</v>
      </c>
    </row>
    <row r="12" spans="1:37" x14ac:dyDescent="0.25">
      <c r="A12">
        <v>1025777371</v>
      </c>
      <c r="B12" t="s">
        <v>81</v>
      </c>
      <c r="C12" s="1">
        <v>45927</v>
      </c>
      <c r="D12" t="str">
        <f t="shared" ca="1" si="0"/>
        <v>0 años 1 mes</v>
      </c>
      <c r="E12" t="s">
        <v>82</v>
      </c>
      <c r="F12" t="s">
        <v>53</v>
      </c>
      <c r="G12" t="s">
        <v>40</v>
      </c>
      <c r="H12" t="s">
        <v>41</v>
      </c>
      <c r="I12" s="2">
        <v>45902</v>
      </c>
      <c r="J12" s="2">
        <f t="shared" ca="1" si="1"/>
        <v>45993</v>
      </c>
      <c r="K12" t="s">
        <v>42</v>
      </c>
      <c r="L12" t="s">
        <v>43</v>
      </c>
      <c r="M12" t="s">
        <v>44</v>
      </c>
      <c r="N12" s="2">
        <v>45862</v>
      </c>
      <c r="O12" s="2">
        <f t="shared" si="2"/>
        <v>46227</v>
      </c>
      <c r="P12" s="2">
        <v>45862</v>
      </c>
      <c r="Q12" s="2">
        <f t="shared" si="3"/>
        <v>46046</v>
      </c>
      <c r="R12" s="2">
        <v>45902</v>
      </c>
      <c r="S12" s="2">
        <f t="shared" si="4"/>
        <v>46083</v>
      </c>
      <c r="T12" t="s">
        <v>40</v>
      </c>
      <c r="U12" t="s">
        <v>44</v>
      </c>
      <c r="V12" t="s">
        <v>44</v>
      </c>
      <c r="W12" t="s">
        <v>45</v>
      </c>
      <c r="X12" t="s">
        <v>40</v>
      </c>
      <c r="AA12" t="s">
        <v>44</v>
      </c>
      <c r="AK12" t="s">
        <v>83</v>
      </c>
    </row>
    <row r="13" spans="1:37" x14ac:dyDescent="0.25">
      <c r="A13">
        <v>1017285378</v>
      </c>
      <c r="B13" t="s">
        <v>84</v>
      </c>
      <c r="C13" s="1">
        <v>43075</v>
      </c>
      <c r="D13" t="str">
        <f t="shared" ca="1" si="0"/>
        <v>7 años 11 meses</v>
      </c>
      <c r="E13" t="s">
        <v>85</v>
      </c>
      <c r="F13" t="s">
        <v>39</v>
      </c>
      <c r="G13" t="s">
        <v>40</v>
      </c>
      <c r="H13" t="s">
        <v>49</v>
      </c>
      <c r="I13" s="2">
        <v>45827</v>
      </c>
      <c r="J13" s="2">
        <f t="shared" ca="1" si="1"/>
        <v>46010</v>
      </c>
      <c r="K13" t="s">
        <v>42</v>
      </c>
      <c r="L13" t="s">
        <v>43</v>
      </c>
      <c r="M13" t="s">
        <v>50</v>
      </c>
      <c r="N13" s="2">
        <v>45646</v>
      </c>
      <c r="O13" s="2">
        <f t="shared" si="2"/>
        <v>46011</v>
      </c>
      <c r="P13" s="2">
        <v>45805</v>
      </c>
      <c r="Q13" s="2">
        <f t="shared" si="3"/>
        <v>45989</v>
      </c>
      <c r="R13" s="2">
        <v>45827</v>
      </c>
      <c r="S13" s="2">
        <f t="shared" si="4"/>
        <v>46010</v>
      </c>
      <c r="T13" s="2">
        <v>45827</v>
      </c>
      <c r="U13" t="s">
        <v>44</v>
      </c>
      <c r="V13" t="s">
        <v>44</v>
      </c>
      <c r="W13" t="s">
        <v>45</v>
      </c>
      <c r="X13" t="s">
        <v>45</v>
      </c>
      <c r="AA13" t="s">
        <v>44</v>
      </c>
      <c r="AK13" t="s">
        <v>86</v>
      </c>
    </row>
    <row r="14" spans="1:37" x14ac:dyDescent="0.25">
      <c r="A14">
        <v>1033207745</v>
      </c>
      <c r="B14" t="s">
        <v>87</v>
      </c>
      <c r="C14" s="1">
        <v>44810</v>
      </c>
      <c r="D14" t="str">
        <f t="shared" ca="1" si="0"/>
        <v>3 años 2 meses</v>
      </c>
      <c r="E14" t="s">
        <v>88</v>
      </c>
      <c r="F14" t="s">
        <v>89</v>
      </c>
      <c r="G14" t="s">
        <v>40</v>
      </c>
      <c r="H14" t="s">
        <v>49</v>
      </c>
      <c r="I14" s="2">
        <v>45932</v>
      </c>
      <c r="J14" s="2">
        <f t="shared" ca="1" si="1"/>
        <v>46114</v>
      </c>
      <c r="K14" t="s">
        <v>42</v>
      </c>
      <c r="L14" t="s">
        <v>43</v>
      </c>
      <c r="M14" t="s">
        <v>44</v>
      </c>
      <c r="N14" s="2">
        <v>45878</v>
      </c>
      <c r="O14" s="2">
        <f t="shared" si="2"/>
        <v>46243</v>
      </c>
      <c r="P14" s="2">
        <v>45878</v>
      </c>
      <c r="Q14" s="2">
        <f t="shared" si="3"/>
        <v>46062</v>
      </c>
      <c r="R14" s="2">
        <v>45932</v>
      </c>
      <c r="S14" s="2">
        <f t="shared" si="4"/>
        <v>46114</v>
      </c>
      <c r="T14" s="2">
        <v>45586</v>
      </c>
      <c r="U14" t="s">
        <v>44</v>
      </c>
      <c r="V14" t="s">
        <v>44</v>
      </c>
      <c r="W14" t="s">
        <v>45</v>
      </c>
      <c r="X14" t="s">
        <v>40</v>
      </c>
      <c r="AA14" t="s">
        <v>44</v>
      </c>
      <c r="AK14" t="s">
        <v>90</v>
      </c>
    </row>
    <row r="15" spans="1:37" x14ac:dyDescent="0.25">
      <c r="A15">
        <v>1011421801</v>
      </c>
      <c r="B15" t="s">
        <v>91</v>
      </c>
      <c r="C15" s="1">
        <v>43479</v>
      </c>
      <c r="D15" t="str">
        <f t="shared" ca="1" si="0"/>
        <v>6 años 9 meses</v>
      </c>
      <c r="E15" t="s">
        <v>92</v>
      </c>
      <c r="F15" t="s">
        <v>53</v>
      </c>
      <c r="G15" t="s">
        <v>40</v>
      </c>
      <c r="H15" t="s">
        <v>49</v>
      </c>
      <c r="I15" s="2">
        <v>45861</v>
      </c>
      <c r="J15" s="2">
        <f t="shared" ca="1" si="1"/>
        <v>46045</v>
      </c>
      <c r="K15" t="s">
        <v>42</v>
      </c>
      <c r="L15" t="s">
        <v>43</v>
      </c>
      <c r="M15" t="s">
        <v>44</v>
      </c>
      <c r="N15" s="2">
        <v>45937</v>
      </c>
      <c r="O15" s="2">
        <f t="shared" si="2"/>
        <v>46302</v>
      </c>
      <c r="P15" s="2">
        <v>45937</v>
      </c>
      <c r="Q15" s="2">
        <f t="shared" si="3"/>
        <v>46119</v>
      </c>
      <c r="R15" t="s">
        <v>40</v>
      </c>
      <c r="S15" t="s">
        <v>44</v>
      </c>
      <c r="T15" t="s">
        <v>40</v>
      </c>
      <c r="U15" t="s">
        <v>45</v>
      </c>
      <c r="V15" t="s">
        <v>44</v>
      </c>
      <c r="W15" t="s">
        <v>45</v>
      </c>
      <c r="X15" t="s">
        <v>40</v>
      </c>
      <c r="AA15" t="s">
        <v>44</v>
      </c>
      <c r="AK15" t="s">
        <v>93</v>
      </c>
    </row>
    <row r="16" spans="1:37" x14ac:dyDescent="0.25">
      <c r="A16">
        <v>1017285900</v>
      </c>
      <c r="B16" t="s">
        <v>94</v>
      </c>
      <c r="C16" s="1">
        <v>43468</v>
      </c>
      <c r="D16" t="str">
        <f t="shared" ca="1" si="0"/>
        <v>6 años 10 meses</v>
      </c>
      <c r="E16" t="s">
        <v>40</v>
      </c>
      <c r="F16" t="s">
        <v>79</v>
      </c>
      <c r="G16" t="s">
        <v>54</v>
      </c>
      <c r="H16" t="s">
        <v>49</v>
      </c>
      <c r="I16" s="2">
        <v>45871</v>
      </c>
      <c r="J16" s="2">
        <f t="shared" ca="1" si="1"/>
        <v>46055</v>
      </c>
      <c r="K16" t="s">
        <v>42</v>
      </c>
      <c r="L16" t="s">
        <v>43</v>
      </c>
      <c r="M16" t="s">
        <v>44</v>
      </c>
      <c r="N16" t="s">
        <v>40</v>
      </c>
      <c r="P16" t="s">
        <v>54</v>
      </c>
      <c r="R16" t="s">
        <v>40</v>
      </c>
      <c r="T16" t="s">
        <v>40</v>
      </c>
      <c r="U16" t="s">
        <v>44</v>
      </c>
      <c r="V16" t="s">
        <v>44</v>
      </c>
      <c r="W16" t="s">
        <v>45</v>
      </c>
      <c r="AK16" t="s">
        <v>95</v>
      </c>
    </row>
    <row r="17" spans="1:37" x14ac:dyDescent="0.25">
      <c r="A17">
        <v>1023571139</v>
      </c>
      <c r="B17" t="s">
        <v>96</v>
      </c>
      <c r="C17" s="1">
        <v>45751</v>
      </c>
      <c r="D17" t="str">
        <f t="shared" ca="1" si="0"/>
        <v>0 años 7 meses</v>
      </c>
      <c r="E17" t="s">
        <v>97</v>
      </c>
      <c r="F17" t="s">
        <v>53</v>
      </c>
      <c r="G17" t="s">
        <v>40</v>
      </c>
      <c r="H17" t="s">
        <v>41</v>
      </c>
      <c r="I17" s="2">
        <v>45938</v>
      </c>
      <c r="J17" s="2">
        <f t="shared" ca="1" si="1"/>
        <v>46030</v>
      </c>
      <c r="K17" t="s">
        <v>42</v>
      </c>
      <c r="L17" t="s">
        <v>43</v>
      </c>
      <c r="M17" t="s">
        <v>44</v>
      </c>
      <c r="N17" s="2">
        <v>45896</v>
      </c>
      <c r="O17" s="2">
        <f t="shared" ref="O17:O29" si="5">IFERROR(DATE(YEAR(N17)+1,MONTH(N17),DAY(N17)),"")</f>
        <v>46261</v>
      </c>
      <c r="P17" t="s">
        <v>59</v>
      </c>
      <c r="Q17" t="s">
        <v>44</v>
      </c>
      <c r="R17" t="s">
        <v>98</v>
      </c>
      <c r="S17" t="str">
        <f>IFERROR(DATE(YEAR(R17),MONTH(R17)+6,DAY(R17)),"")</f>
        <v/>
      </c>
      <c r="T17" t="s">
        <v>40</v>
      </c>
      <c r="U17" t="s">
        <v>45</v>
      </c>
      <c r="V17" t="s">
        <v>44</v>
      </c>
      <c r="W17" t="s">
        <v>45</v>
      </c>
      <c r="AA17" t="s">
        <v>44</v>
      </c>
      <c r="AK17" t="s">
        <v>99</v>
      </c>
    </row>
    <row r="18" spans="1:37" x14ac:dyDescent="0.25">
      <c r="A18">
        <v>1013386614</v>
      </c>
      <c r="B18" t="s">
        <v>100</v>
      </c>
      <c r="C18" s="1">
        <v>42482</v>
      </c>
      <c r="D18" t="str">
        <f t="shared" ca="1" si="0"/>
        <v>9 años 6 meses</v>
      </c>
      <c r="E18" t="s">
        <v>101</v>
      </c>
      <c r="F18" t="s">
        <v>53</v>
      </c>
      <c r="G18" t="s">
        <v>40</v>
      </c>
      <c r="H18" t="s">
        <v>41</v>
      </c>
      <c r="I18" s="2">
        <v>45916</v>
      </c>
      <c r="J18" s="2">
        <f t="shared" ca="1" si="1"/>
        <v>46097</v>
      </c>
      <c r="K18" t="s">
        <v>42</v>
      </c>
      <c r="L18" t="s">
        <v>43</v>
      </c>
      <c r="M18" t="s">
        <v>44</v>
      </c>
      <c r="N18" t="s">
        <v>40</v>
      </c>
      <c r="O18" t="str">
        <f t="shared" si="5"/>
        <v/>
      </c>
      <c r="P18" t="s">
        <v>59</v>
      </c>
      <c r="Q18" t="str">
        <f t="shared" ref="Q18:Q23" si="6">IFERROR(DATE(YEAR(P18),MONTH(P18)+6,DAY(P18)),"")</f>
        <v/>
      </c>
      <c r="R18" t="s">
        <v>98</v>
      </c>
      <c r="S18" t="str">
        <f>IFERROR(DATE(YEAR(R18),MONTH(R18)+6,DAY(R18)),"")</f>
        <v/>
      </c>
      <c r="T18" t="s">
        <v>40</v>
      </c>
      <c r="U18" t="s">
        <v>40</v>
      </c>
      <c r="V18" t="s">
        <v>44</v>
      </c>
      <c r="W18" t="s">
        <v>45</v>
      </c>
      <c r="AA18" t="s">
        <v>44</v>
      </c>
      <c r="AK18" t="s">
        <v>102</v>
      </c>
    </row>
    <row r="19" spans="1:37" x14ac:dyDescent="0.25">
      <c r="A19">
        <v>1020244637</v>
      </c>
      <c r="B19" t="s">
        <v>103</v>
      </c>
      <c r="C19" s="1">
        <v>45380</v>
      </c>
      <c r="D19" t="str">
        <f t="shared" ca="1" si="0"/>
        <v>1 año 7 meses</v>
      </c>
      <c r="E19" t="s">
        <v>40</v>
      </c>
      <c r="F19" t="s">
        <v>79</v>
      </c>
      <c r="G19" t="s">
        <v>54</v>
      </c>
      <c r="H19" t="s">
        <v>41</v>
      </c>
      <c r="I19" s="2">
        <v>45869</v>
      </c>
      <c r="J19" s="2">
        <f t="shared" ca="1" si="1"/>
        <v>46053</v>
      </c>
      <c r="K19" t="s">
        <v>42</v>
      </c>
      <c r="L19" t="s">
        <v>43</v>
      </c>
      <c r="M19" t="s">
        <v>44</v>
      </c>
      <c r="N19" s="2">
        <v>45902</v>
      </c>
      <c r="O19" s="2">
        <f t="shared" si="5"/>
        <v>46267</v>
      </c>
      <c r="P19" s="2">
        <v>45902</v>
      </c>
      <c r="Q19" s="2">
        <f t="shared" si="6"/>
        <v>46083</v>
      </c>
      <c r="R19" t="s">
        <v>40</v>
      </c>
      <c r="T19" t="s">
        <v>40</v>
      </c>
      <c r="U19" t="s">
        <v>44</v>
      </c>
      <c r="V19" t="s">
        <v>44</v>
      </c>
      <c r="W19" s="2">
        <v>45923</v>
      </c>
      <c r="AA19" t="s">
        <v>44</v>
      </c>
      <c r="AK19" t="s">
        <v>104</v>
      </c>
    </row>
    <row r="20" spans="1:37" x14ac:dyDescent="0.25">
      <c r="A20">
        <v>1023572162</v>
      </c>
      <c r="B20" t="s">
        <v>105</v>
      </c>
      <c r="C20" s="1">
        <v>44561</v>
      </c>
      <c r="D20" t="str">
        <f t="shared" ca="1" si="0"/>
        <v>3 años 10 meses</v>
      </c>
      <c r="E20" t="s">
        <v>106</v>
      </c>
      <c r="F20" t="s">
        <v>53</v>
      </c>
      <c r="G20" t="s">
        <v>107</v>
      </c>
      <c r="H20" t="s">
        <v>41</v>
      </c>
      <c r="I20" s="2">
        <v>45863</v>
      </c>
      <c r="J20" s="2">
        <f t="shared" ca="1" si="1"/>
        <v>46047</v>
      </c>
      <c r="K20" t="s">
        <v>42</v>
      </c>
      <c r="L20" t="s">
        <v>43</v>
      </c>
      <c r="M20" t="s">
        <v>44</v>
      </c>
      <c r="N20" t="s">
        <v>108</v>
      </c>
      <c r="O20" t="str">
        <f t="shared" si="5"/>
        <v/>
      </c>
      <c r="P20" t="s">
        <v>59</v>
      </c>
      <c r="Q20" t="str">
        <f t="shared" si="6"/>
        <v/>
      </c>
      <c r="R20" t="s">
        <v>98</v>
      </c>
      <c r="S20" t="str">
        <f>IFERROR(DATE(YEAR(R20),MONTH(R20)+6,DAY(R20)),"")</f>
        <v/>
      </c>
      <c r="T20" t="s">
        <v>40</v>
      </c>
      <c r="U20" t="s">
        <v>45</v>
      </c>
      <c r="V20" t="s">
        <v>44</v>
      </c>
      <c r="W20" t="s">
        <v>40</v>
      </c>
      <c r="AA20" t="s">
        <v>44</v>
      </c>
      <c r="AK20" t="s">
        <v>109</v>
      </c>
    </row>
    <row r="21" spans="1:37" x14ac:dyDescent="0.25">
      <c r="A21">
        <v>1035022304</v>
      </c>
      <c r="B21" t="s">
        <v>110</v>
      </c>
      <c r="C21" s="1">
        <v>42469</v>
      </c>
      <c r="D21" t="str">
        <f t="shared" ca="1" si="0"/>
        <v>9 años 6 meses</v>
      </c>
      <c r="E21" t="s">
        <v>111</v>
      </c>
      <c r="F21" t="s">
        <v>53</v>
      </c>
      <c r="G21" t="s">
        <v>54</v>
      </c>
      <c r="H21" t="s">
        <v>41</v>
      </c>
      <c r="I21" s="2">
        <v>45805</v>
      </c>
      <c r="J21" s="2">
        <f t="shared" ca="1" si="1"/>
        <v>45989</v>
      </c>
      <c r="K21" t="s">
        <v>42</v>
      </c>
      <c r="L21" t="s">
        <v>43</v>
      </c>
      <c r="M21" t="s">
        <v>44</v>
      </c>
      <c r="N21" s="2">
        <v>45779</v>
      </c>
      <c r="O21" s="2">
        <f t="shared" si="5"/>
        <v>46144</v>
      </c>
      <c r="P21" s="2">
        <v>45779</v>
      </c>
      <c r="Q21" s="2">
        <f t="shared" si="6"/>
        <v>45963</v>
      </c>
      <c r="R21" s="2">
        <v>45883</v>
      </c>
      <c r="S21" s="2">
        <f>IFERROR(DATE(YEAR(R21),MONTH(R21)+6,DAY(R21)),"")</f>
        <v>46067</v>
      </c>
      <c r="T21" t="s">
        <v>40</v>
      </c>
      <c r="U21" t="s">
        <v>44</v>
      </c>
      <c r="V21" t="s">
        <v>44</v>
      </c>
      <c r="W21" t="s">
        <v>45</v>
      </c>
      <c r="AA21" t="s">
        <v>44</v>
      </c>
      <c r="AK21" t="s">
        <v>112</v>
      </c>
    </row>
    <row r="22" spans="1:37" x14ac:dyDescent="0.25">
      <c r="A22">
        <v>1034933601</v>
      </c>
      <c r="B22" t="s">
        <v>113</v>
      </c>
      <c r="C22" s="1">
        <v>45100</v>
      </c>
      <c r="D22" t="str">
        <f t="shared" ca="1" si="0"/>
        <v>2 años 4 meses</v>
      </c>
      <c r="E22" t="s">
        <v>114</v>
      </c>
      <c r="F22" t="s">
        <v>53</v>
      </c>
      <c r="G22" t="s">
        <v>40</v>
      </c>
      <c r="H22" t="s">
        <v>49</v>
      </c>
      <c r="I22" s="2">
        <v>45924</v>
      </c>
      <c r="J22" s="2">
        <f t="shared" ca="1" si="1"/>
        <v>46105</v>
      </c>
      <c r="K22" t="s">
        <v>42</v>
      </c>
      <c r="L22" t="s">
        <v>43</v>
      </c>
      <c r="M22" t="s">
        <v>50</v>
      </c>
      <c r="N22" s="2">
        <v>45775</v>
      </c>
      <c r="O22" s="2">
        <f t="shared" si="5"/>
        <v>46140</v>
      </c>
      <c r="P22" s="2">
        <v>45775</v>
      </c>
      <c r="Q22" s="2">
        <f t="shared" si="6"/>
        <v>45958</v>
      </c>
      <c r="R22" s="2">
        <v>45826</v>
      </c>
      <c r="S22" s="2">
        <f>IFERROR(DATE(YEAR(R22),MONTH(R22)+6,DAY(R22)),"")</f>
        <v>46009</v>
      </c>
      <c r="T22" s="2">
        <v>45803</v>
      </c>
      <c r="U22" t="s">
        <v>44</v>
      </c>
      <c r="V22" t="s">
        <v>44</v>
      </c>
      <c r="W22" t="s">
        <v>45</v>
      </c>
      <c r="X22" t="s">
        <v>45</v>
      </c>
      <c r="AA22" t="s">
        <v>44</v>
      </c>
      <c r="AK22" t="s">
        <v>115</v>
      </c>
    </row>
    <row r="23" spans="1:37" x14ac:dyDescent="0.25">
      <c r="A23">
        <v>1034933292</v>
      </c>
      <c r="B23" t="s">
        <v>116</v>
      </c>
      <c r="C23" s="1">
        <v>45612</v>
      </c>
      <c r="D23" t="str">
        <f t="shared" ca="1" si="0"/>
        <v>0 años 11 meses</v>
      </c>
      <c r="E23" t="s">
        <v>117</v>
      </c>
      <c r="F23" t="s">
        <v>53</v>
      </c>
      <c r="G23" t="s">
        <v>40</v>
      </c>
      <c r="H23" t="s">
        <v>49</v>
      </c>
      <c r="I23" s="2">
        <v>45793</v>
      </c>
      <c r="J23" s="2">
        <f t="shared" ca="1" si="1"/>
        <v>45885</v>
      </c>
      <c r="K23" t="s">
        <v>42</v>
      </c>
      <c r="L23" t="s">
        <v>43</v>
      </c>
      <c r="M23" t="s">
        <v>44</v>
      </c>
      <c r="N23" s="2">
        <v>45878</v>
      </c>
      <c r="O23" s="2">
        <f t="shared" si="5"/>
        <v>46243</v>
      </c>
      <c r="P23" s="2">
        <v>45878</v>
      </c>
      <c r="Q23" s="2">
        <f t="shared" si="6"/>
        <v>46062</v>
      </c>
      <c r="R23" s="2">
        <v>45728</v>
      </c>
      <c r="S23" s="2">
        <f>IFERROR(DATE(YEAR(R23),MONTH(R23)+6,DAY(R23)),"")</f>
        <v>45912</v>
      </c>
      <c r="T23" s="2">
        <v>45793</v>
      </c>
      <c r="U23" t="s">
        <v>44</v>
      </c>
      <c r="V23" t="s">
        <v>44</v>
      </c>
      <c r="W23" t="s">
        <v>45</v>
      </c>
      <c r="X23" t="s">
        <v>45</v>
      </c>
      <c r="AA23" t="s">
        <v>44</v>
      </c>
      <c r="AK23" t="s">
        <v>118</v>
      </c>
    </row>
    <row r="24" spans="1:37" x14ac:dyDescent="0.25">
      <c r="A24">
        <v>1017943395</v>
      </c>
      <c r="B24" t="s">
        <v>119</v>
      </c>
      <c r="C24" s="1">
        <v>42114</v>
      </c>
      <c r="D24" t="str">
        <f t="shared" ca="1" si="0"/>
        <v>10 años 6 meses</v>
      </c>
      <c r="E24" t="s">
        <v>48</v>
      </c>
      <c r="F24" t="s">
        <v>53</v>
      </c>
      <c r="G24" t="s">
        <v>40</v>
      </c>
      <c r="H24" t="s">
        <v>41</v>
      </c>
      <c r="I24" s="2">
        <v>45924</v>
      </c>
      <c r="J24" s="2">
        <f t="shared" ca="1" si="1"/>
        <v>46105</v>
      </c>
      <c r="K24" t="s">
        <v>42</v>
      </c>
      <c r="L24" t="s">
        <v>43</v>
      </c>
      <c r="M24" t="s">
        <v>44</v>
      </c>
      <c r="N24" s="2">
        <v>45818</v>
      </c>
      <c r="O24" s="2">
        <f t="shared" si="5"/>
        <v>46183</v>
      </c>
      <c r="P24" t="s">
        <v>59</v>
      </c>
      <c r="Q24" t="s">
        <v>44</v>
      </c>
      <c r="R24" t="s">
        <v>98</v>
      </c>
      <c r="S24" t="s">
        <v>44</v>
      </c>
      <c r="T24" t="s">
        <v>40</v>
      </c>
      <c r="U24" t="s">
        <v>45</v>
      </c>
      <c r="V24" t="s">
        <v>44</v>
      </c>
      <c r="W24" t="s">
        <v>45</v>
      </c>
      <c r="AA24" t="s">
        <v>44</v>
      </c>
      <c r="AK24" t="s">
        <v>120</v>
      </c>
    </row>
    <row r="25" spans="1:37" x14ac:dyDescent="0.25">
      <c r="A25">
        <v>1011520990</v>
      </c>
      <c r="B25" t="s">
        <v>121</v>
      </c>
      <c r="C25" s="1">
        <v>43506</v>
      </c>
      <c r="D25" t="str">
        <f t="shared" ca="1" si="0"/>
        <v>6 años 8 meses</v>
      </c>
      <c r="E25" t="s">
        <v>40</v>
      </c>
      <c r="F25" t="s">
        <v>79</v>
      </c>
      <c r="G25" t="s">
        <v>40</v>
      </c>
      <c r="H25" t="s">
        <v>49</v>
      </c>
      <c r="I25" s="2">
        <v>45744</v>
      </c>
      <c r="J25" s="2">
        <f t="shared" ca="1" si="1"/>
        <v>45928</v>
      </c>
      <c r="K25" t="s">
        <v>42</v>
      </c>
      <c r="L25" t="s">
        <v>43</v>
      </c>
      <c r="M25" t="s">
        <v>122</v>
      </c>
      <c r="N25" s="2">
        <v>45744</v>
      </c>
      <c r="O25" s="2">
        <f t="shared" si="5"/>
        <v>46109</v>
      </c>
      <c r="P25" s="2">
        <v>45744</v>
      </c>
      <c r="Q25" s="2">
        <f>IFERROR(DATE(YEAR(P25),MONTH(P25)+6,DAY(P25)),"")</f>
        <v>45928</v>
      </c>
      <c r="R25" s="2">
        <v>45744</v>
      </c>
      <c r="S25" s="2">
        <f>IFERROR(DATE(YEAR(R25),MONTH(R25)+6,DAY(R25)),"")</f>
        <v>45928</v>
      </c>
      <c r="T25" s="2">
        <v>45744</v>
      </c>
      <c r="U25" t="s">
        <v>44</v>
      </c>
      <c r="V25" t="s">
        <v>44</v>
      </c>
      <c r="W25" t="s">
        <v>45</v>
      </c>
      <c r="X25" t="s">
        <v>45</v>
      </c>
      <c r="AA25" t="s">
        <v>44</v>
      </c>
      <c r="AK25" t="s">
        <v>123</v>
      </c>
    </row>
    <row r="26" spans="1:37" x14ac:dyDescent="0.25">
      <c r="A26">
        <v>1031950230</v>
      </c>
      <c r="B26" t="s">
        <v>124</v>
      </c>
      <c r="C26" s="1">
        <v>45519</v>
      </c>
      <c r="D26" t="str">
        <f t="shared" ca="1" si="0"/>
        <v>1 año 2 meses</v>
      </c>
      <c r="E26" t="s">
        <v>125</v>
      </c>
      <c r="F26" t="s">
        <v>79</v>
      </c>
      <c r="G26" t="s">
        <v>40</v>
      </c>
      <c r="H26" t="s">
        <v>49</v>
      </c>
      <c r="I26" s="2">
        <v>45931</v>
      </c>
      <c r="J26" s="2">
        <f t="shared" ca="1" si="1"/>
        <v>46113</v>
      </c>
      <c r="K26" t="s">
        <v>42</v>
      </c>
      <c r="L26" t="s">
        <v>43</v>
      </c>
      <c r="M26" t="s">
        <v>50</v>
      </c>
      <c r="N26" s="2">
        <v>45946</v>
      </c>
      <c r="O26" s="2">
        <f t="shared" si="5"/>
        <v>46311</v>
      </c>
      <c r="P26" s="2">
        <v>45946</v>
      </c>
      <c r="Q26" s="2">
        <f>IFERROR(DATE(YEAR(P26),MONTH(P26)+6,DAY(P26)),"")</f>
        <v>46128</v>
      </c>
      <c r="R26" s="2">
        <v>45931</v>
      </c>
      <c r="S26" s="2">
        <f>IFERROR(DATE(YEAR(R26),MONTH(R26)+6,DAY(R26)),"")</f>
        <v>46113</v>
      </c>
      <c r="T26" s="2">
        <v>45719</v>
      </c>
      <c r="U26" t="s">
        <v>44</v>
      </c>
      <c r="V26" t="s">
        <v>44</v>
      </c>
      <c r="W26" t="s">
        <v>45</v>
      </c>
      <c r="X26" t="s">
        <v>40</v>
      </c>
      <c r="AA26" t="s">
        <v>44</v>
      </c>
      <c r="AK26" t="s">
        <v>126</v>
      </c>
    </row>
    <row r="27" spans="1:37" x14ac:dyDescent="0.25">
      <c r="A27">
        <v>1020245056</v>
      </c>
      <c r="B27" t="s">
        <v>127</v>
      </c>
      <c r="C27" s="1">
        <v>45612</v>
      </c>
      <c r="D27" t="str">
        <f t="shared" ca="1" si="0"/>
        <v>0 años 11 meses</v>
      </c>
      <c r="E27" t="s">
        <v>101</v>
      </c>
      <c r="F27" t="s">
        <v>79</v>
      </c>
      <c r="G27" t="s">
        <v>40</v>
      </c>
      <c r="H27" t="s">
        <v>49</v>
      </c>
      <c r="I27" s="2">
        <v>45890</v>
      </c>
      <c r="J27" s="2">
        <f t="shared" ca="1" si="1"/>
        <v>45982</v>
      </c>
      <c r="K27" t="s">
        <v>42</v>
      </c>
      <c r="L27" t="s">
        <v>43</v>
      </c>
      <c r="M27" t="s">
        <v>44</v>
      </c>
      <c r="N27" s="2">
        <v>45853</v>
      </c>
      <c r="O27" s="2">
        <f t="shared" si="5"/>
        <v>46218</v>
      </c>
      <c r="P27" s="2">
        <v>45853</v>
      </c>
      <c r="Q27" s="2">
        <f>IFERROR(DATE(YEAR(P27),MONTH(P27)+6,DAY(P27)),"")</f>
        <v>46037</v>
      </c>
      <c r="R27" s="2">
        <v>45853</v>
      </c>
      <c r="S27" s="2">
        <f>IFERROR(DATE(YEAR(R27),MONTH(R27)+6,DAY(R27)),"")</f>
        <v>46037</v>
      </c>
      <c r="T27" s="2">
        <v>45670</v>
      </c>
      <c r="U27" t="s">
        <v>44</v>
      </c>
      <c r="V27" t="s">
        <v>44</v>
      </c>
      <c r="W27" t="s">
        <v>45</v>
      </c>
      <c r="X27" t="s">
        <v>40</v>
      </c>
      <c r="AA27" t="s">
        <v>44</v>
      </c>
      <c r="AK27" t="s">
        <v>128</v>
      </c>
    </row>
    <row r="28" spans="1:37" x14ac:dyDescent="0.25">
      <c r="A28">
        <v>1017285836</v>
      </c>
      <c r="B28" t="s">
        <v>129</v>
      </c>
      <c r="C28" s="1">
        <v>42977</v>
      </c>
      <c r="D28" t="str">
        <f t="shared" ca="1" si="0"/>
        <v>8 años 2 meses</v>
      </c>
      <c r="E28" t="s">
        <v>40</v>
      </c>
      <c r="F28" t="s">
        <v>39</v>
      </c>
      <c r="G28" t="s">
        <v>54</v>
      </c>
      <c r="H28" t="s">
        <v>41</v>
      </c>
      <c r="I28" s="2">
        <v>45779</v>
      </c>
      <c r="J28" s="2">
        <f t="shared" ca="1" si="1"/>
        <v>45963</v>
      </c>
      <c r="K28" t="s">
        <v>42</v>
      </c>
      <c r="L28" t="s">
        <v>43</v>
      </c>
      <c r="M28" t="s">
        <v>44</v>
      </c>
      <c r="N28" s="2">
        <v>45944</v>
      </c>
      <c r="O28" s="2">
        <f t="shared" si="5"/>
        <v>46309</v>
      </c>
      <c r="P28" s="2">
        <v>45944</v>
      </c>
      <c r="Q28" s="2">
        <f>IFERROR(DATE(YEAR(P28),MONTH(P28)+6,DAY(P28)),"")</f>
        <v>46126</v>
      </c>
      <c r="R28" s="2">
        <v>45779</v>
      </c>
      <c r="S28" s="2">
        <f>IFERROR(DATE(YEAR(R28),MONTH(R28)+6,DAY(R28)),"")</f>
        <v>45963</v>
      </c>
      <c r="T28" s="2">
        <v>45779</v>
      </c>
      <c r="U28" t="s">
        <v>44</v>
      </c>
      <c r="V28" t="s">
        <v>44</v>
      </c>
      <c r="W28" t="s">
        <v>45</v>
      </c>
      <c r="AA28" t="s">
        <v>44</v>
      </c>
      <c r="AK28" t="s">
        <v>130</v>
      </c>
    </row>
    <row r="29" spans="1:37" x14ac:dyDescent="0.25">
      <c r="A29">
        <v>1034933668</v>
      </c>
      <c r="B29" t="s">
        <v>131</v>
      </c>
      <c r="C29" s="1">
        <v>42612</v>
      </c>
      <c r="D29" t="str">
        <f t="shared" ca="1" si="0"/>
        <v>9 años 2 meses</v>
      </c>
      <c r="E29" t="s">
        <v>132</v>
      </c>
      <c r="F29" t="s">
        <v>133</v>
      </c>
      <c r="G29" t="s">
        <v>40</v>
      </c>
      <c r="H29" t="s">
        <v>49</v>
      </c>
      <c r="I29" s="2">
        <v>45867</v>
      </c>
      <c r="J29" s="2">
        <f t="shared" ca="1" si="1"/>
        <v>46051</v>
      </c>
      <c r="K29" t="s">
        <v>42</v>
      </c>
      <c r="L29" t="s">
        <v>43</v>
      </c>
      <c r="M29" t="s">
        <v>44</v>
      </c>
      <c r="N29" s="2">
        <v>45881</v>
      </c>
      <c r="O29" s="2">
        <f t="shared" si="5"/>
        <v>46246</v>
      </c>
      <c r="P29" s="2">
        <v>45881</v>
      </c>
      <c r="Q29" s="2">
        <f>IFERROR(DATE(YEAR(P29),MONTH(P29)+6,DAY(P29)),"")</f>
        <v>46065</v>
      </c>
      <c r="R29" s="2">
        <v>45944</v>
      </c>
      <c r="S29" s="2">
        <f>IFERROR(DATE(YEAR(R29),MONTH(R29)+6,DAY(R29)),"")</f>
        <v>46126</v>
      </c>
      <c r="T29" s="2">
        <v>45720</v>
      </c>
      <c r="U29" t="s">
        <v>44</v>
      </c>
      <c r="V29" t="s">
        <v>44</v>
      </c>
      <c r="W29" t="s">
        <v>45</v>
      </c>
      <c r="X29" t="s">
        <v>45</v>
      </c>
      <c r="Y29" t="s">
        <v>40</v>
      </c>
      <c r="AA29" t="s">
        <v>44</v>
      </c>
      <c r="AK29" t="s">
        <v>134</v>
      </c>
    </row>
    <row r="30" spans="1:37" x14ac:dyDescent="0.25">
      <c r="C30" s="1"/>
    </row>
    <row r="31" spans="1:37" x14ac:dyDescent="0.25">
      <c r="C31" s="1"/>
    </row>
  </sheetData>
  <hyperlinks>
    <hyperlink ref="AK2" r:id="rId1" xr:uid="{09B759F8-8420-44FE-8751-2378FAA8093C}"/>
    <hyperlink ref="AK6" r:id="rId2" xr:uid="{DBA94B60-D796-43F9-95C4-7D0B6CA9960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1"/>
  <sheetViews>
    <sheetView topLeftCell="A8" workbookViewId="0">
      <selection activeCell="A8" sqref="A8:A10"/>
    </sheetView>
  </sheetViews>
  <sheetFormatPr baseColWidth="10"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3" t="s">
        <v>36</v>
      </c>
    </row>
    <row r="2" spans="1:37" x14ac:dyDescent="0.25">
      <c r="A2">
        <v>1017284840</v>
      </c>
      <c r="B2" t="s">
        <v>135</v>
      </c>
      <c r="C2" s="1">
        <v>44785</v>
      </c>
      <c r="D2" t="str">
        <f t="shared" ref="D2:D29" ca="1" si="0">DATEDIF(C2,TODAY(),"Y") &amp; " año" &amp; IF(DATEDIF(C2,TODAY(),"Y")=1,"","s")&amp; " " &amp; DATEDIF(C2,TODAY(),"YM") &amp; " mes"&amp; IF(DATEDIF(C2,TODAY(),"YM")=1,"","es")</f>
        <v>3 años 2 meses</v>
      </c>
      <c r="E2" t="s">
        <v>38</v>
      </c>
      <c r="F2" t="s">
        <v>39</v>
      </c>
      <c r="G2" t="s">
        <v>40</v>
      </c>
      <c r="H2" t="s">
        <v>41</v>
      </c>
      <c r="I2" s="2">
        <v>45925</v>
      </c>
      <c r="J2" s="2">
        <f t="shared" ref="J2:J29" ca="1" si="1">IFERROR(IF(DATEDIF(C2,TODAY(),"Y")&gt;=1,DATE(YEAR(I2),MONTH(I2)+6,DAY(I2)),DATE(YEAR(I2),MONTH(I2)+3,DAY(I2))),"NO")</f>
        <v>46106</v>
      </c>
      <c r="K2" t="s">
        <v>42</v>
      </c>
      <c r="L2" t="s">
        <v>43</v>
      </c>
      <c r="M2" t="s">
        <v>44</v>
      </c>
      <c r="N2" s="2">
        <v>45895</v>
      </c>
      <c r="O2" s="2">
        <f>IFERROR(DATE(YEAR(N2)+1,MONTH(N2),DAY(N2)),"")</f>
        <v>46260</v>
      </c>
      <c r="P2" s="2">
        <v>45895</v>
      </c>
      <c r="Q2" s="2">
        <f>IFERROR(DATE(YEAR(P2),MONTH(P2)+6,DAY(P2)),"")</f>
        <v>46079</v>
      </c>
      <c r="R2" s="2">
        <v>45777</v>
      </c>
      <c r="S2" s="2">
        <f>IFERROR(DATE(YEAR(R2),MONTH(R2)+6,DAY(R2)),"")</f>
        <v>45960</v>
      </c>
      <c r="T2" s="2">
        <v>45777</v>
      </c>
      <c r="U2" t="s">
        <v>44</v>
      </c>
      <c r="V2" t="s">
        <v>44</v>
      </c>
      <c r="W2" t="s">
        <v>45</v>
      </c>
      <c r="X2" t="s">
        <v>40</v>
      </c>
      <c r="AA2" t="s">
        <v>44</v>
      </c>
      <c r="AK2" t="s">
        <v>46</v>
      </c>
    </row>
    <row r="3" spans="1:37" x14ac:dyDescent="0.25">
      <c r="A3">
        <v>1034933341</v>
      </c>
      <c r="B3" t="s">
        <v>136</v>
      </c>
      <c r="C3" s="1">
        <v>42523</v>
      </c>
      <c r="D3" t="str">
        <f t="shared" ca="1" si="0"/>
        <v>9 años 5 meses</v>
      </c>
      <c r="E3" t="s">
        <v>48</v>
      </c>
      <c r="F3" t="s">
        <v>39</v>
      </c>
      <c r="G3" t="s">
        <v>40</v>
      </c>
      <c r="H3" t="s">
        <v>49</v>
      </c>
      <c r="I3" s="2">
        <v>45925</v>
      </c>
      <c r="J3" s="2">
        <f t="shared" ca="1" si="1"/>
        <v>46106</v>
      </c>
      <c r="K3" t="s">
        <v>42</v>
      </c>
      <c r="L3" t="s">
        <v>43</v>
      </c>
      <c r="M3" t="s">
        <v>50</v>
      </c>
      <c r="N3" s="2">
        <v>45929</v>
      </c>
      <c r="O3" s="2">
        <f>IFERROR(DATE(YEAR(N3)+1,MONTH(N3),DAY(N3)),"")</f>
        <v>46294</v>
      </c>
      <c r="P3" s="2">
        <v>45929</v>
      </c>
      <c r="Q3" s="2">
        <f>IFERROR(DATE(YEAR(P3),MONTH(P3)+6,DAY(P3)),"")</f>
        <v>46110</v>
      </c>
      <c r="R3" s="2">
        <v>45925</v>
      </c>
      <c r="S3" s="2">
        <f>IFERROR(DATE(YEAR(R3),MONTH(R3)+6,DAY(R3)),"")</f>
        <v>46106</v>
      </c>
      <c r="T3" s="2">
        <v>45580</v>
      </c>
      <c r="U3" t="s">
        <v>44</v>
      </c>
      <c r="V3" t="s">
        <v>44</v>
      </c>
      <c r="W3" t="s">
        <v>45</v>
      </c>
      <c r="X3" t="s">
        <v>45</v>
      </c>
      <c r="Y3" t="s">
        <v>40</v>
      </c>
      <c r="AA3" t="s">
        <v>44</v>
      </c>
      <c r="AK3" t="s">
        <v>51</v>
      </c>
    </row>
    <row r="4" spans="1:37" x14ac:dyDescent="0.25">
      <c r="A4">
        <v>1020244542</v>
      </c>
      <c r="B4" t="s">
        <v>137</v>
      </c>
      <c r="C4" s="1">
        <v>43244</v>
      </c>
      <c r="D4" t="str">
        <f t="shared" ca="1" si="0"/>
        <v>7 años 5 meses</v>
      </c>
      <c r="E4" t="s">
        <v>40</v>
      </c>
      <c r="F4" t="s">
        <v>53</v>
      </c>
      <c r="G4" t="s">
        <v>54</v>
      </c>
      <c r="H4" t="s">
        <v>49</v>
      </c>
      <c r="I4" s="2">
        <v>45805</v>
      </c>
      <c r="J4" s="2">
        <f t="shared" ca="1" si="1"/>
        <v>45989</v>
      </c>
      <c r="K4" t="s">
        <v>42</v>
      </c>
      <c r="L4" t="s">
        <v>43</v>
      </c>
      <c r="M4" t="s">
        <v>55</v>
      </c>
      <c r="N4" s="2">
        <v>45901</v>
      </c>
      <c r="O4" s="2">
        <f>IFERROR(DATE(YEAR(N4)+1,MONTH(N4),DAY(N4)),"")</f>
        <v>46266</v>
      </c>
      <c r="P4" s="2">
        <v>45901</v>
      </c>
      <c r="Q4" s="2">
        <f>IFERROR(DATE(YEAR(P4),MONTH(P4)+6,DAY(P4)),"")</f>
        <v>46082</v>
      </c>
      <c r="R4" s="2">
        <v>45717</v>
      </c>
      <c r="S4" s="2">
        <f>IFERROR(DATE(YEAR(R4),MONTH(R4)+6,DAY(R4)),"")</f>
        <v>45901</v>
      </c>
      <c r="T4" s="2">
        <v>45717</v>
      </c>
      <c r="U4" t="s">
        <v>44</v>
      </c>
      <c r="V4" t="s">
        <v>44</v>
      </c>
      <c r="W4" t="s">
        <v>45</v>
      </c>
      <c r="X4" t="s">
        <v>45</v>
      </c>
      <c r="Y4" t="s">
        <v>40</v>
      </c>
      <c r="AA4" t="s">
        <v>44</v>
      </c>
      <c r="AK4" t="s">
        <v>56</v>
      </c>
    </row>
    <row r="5" spans="1:37" x14ac:dyDescent="0.25">
      <c r="A5">
        <v>1020246143</v>
      </c>
      <c r="B5" t="s">
        <v>138</v>
      </c>
      <c r="C5" s="1">
        <v>44601</v>
      </c>
      <c r="D5" t="str">
        <f t="shared" ca="1" si="0"/>
        <v>3 años 8 meses</v>
      </c>
      <c r="E5" t="s">
        <v>58</v>
      </c>
      <c r="F5" t="s">
        <v>53</v>
      </c>
      <c r="G5" t="s">
        <v>40</v>
      </c>
      <c r="H5" t="s">
        <v>41</v>
      </c>
      <c r="I5" s="2">
        <v>45875</v>
      </c>
      <c r="J5" s="2">
        <f t="shared" ca="1" si="1"/>
        <v>46059</v>
      </c>
      <c r="K5" t="s">
        <v>42</v>
      </c>
      <c r="L5" t="s">
        <v>43</v>
      </c>
      <c r="M5" t="s">
        <v>44</v>
      </c>
      <c r="N5" s="2">
        <v>45869</v>
      </c>
      <c r="O5" s="2">
        <f>IFERROR(DATE(YEAR(N5)+1,MONTH(N5),DAY(N5)),"")</f>
        <v>46234</v>
      </c>
      <c r="P5" t="s">
        <v>59</v>
      </c>
      <c r="Q5" t="s">
        <v>44</v>
      </c>
      <c r="R5" t="s">
        <v>40</v>
      </c>
      <c r="T5" t="s">
        <v>40</v>
      </c>
      <c r="U5" t="s">
        <v>44</v>
      </c>
      <c r="V5" t="s">
        <v>44</v>
      </c>
      <c r="W5" t="s">
        <v>45</v>
      </c>
      <c r="AA5" t="s">
        <v>44</v>
      </c>
      <c r="AK5" t="s">
        <v>60</v>
      </c>
    </row>
    <row r="6" spans="1:37" x14ac:dyDescent="0.25">
      <c r="A6">
        <v>1021725994</v>
      </c>
      <c r="B6" t="s">
        <v>139</v>
      </c>
      <c r="C6" s="1">
        <v>43484</v>
      </c>
      <c r="D6" t="str">
        <f t="shared" ca="1" si="0"/>
        <v>6 años 9 meses</v>
      </c>
      <c r="E6" t="s">
        <v>62</v>
      </c>
      <c r="F6" t="s">
        <v>53</v>
      </c>
      <c r="G6" t="s">
        <v>54</v>
      </c>
      <c r="H6" t="s">
        <v>49</v>
      </c>
      <c r="I6" s="2">
        <v>45820</v>
      </c>
      <c r="J6" s="2">
        <f t="shared" ca="1" si="1"/>
        <v>46003</v>
      </c>
      <c r="K6" t="s">
        <v>42</v>
      </c>
      <c r="L6" t="s">
        <v>43</v>
      </c>
      <c r="M6" t="s">
        <v>44</v>
      </c>
      <c r="N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44</v>
      </c>
      <c r="V6" t="s">
        <v>44</v>
      </c>
      <c r="W6" t="s">
        <v>45</v>
      </c>
      <c r="AK6" t="s">
        <v>63</v>
      </c>
    </row>
    <row r="7" spans="1:37" x14ac:dyDescent="0.25">
      <c r="A7">
        <v>1021145505</v>
      </c>
      <c r="B7" t="s">
        <v>140</v>
      </c>
      <c r="C7" s="1">
        <v>42135</v>
      </c>
      <c r="D7" t="str">
        <f t="shared" ca="1" si="0"/>
        <v>10 años 5 meses</v>
      </c>
      <c r="E7" t="s">
        <v>65</v>
      </c>
      <c r="F7" t="s">
        <v>53</v>
      </c>
      <c r="G7" t="s">
        <v>40</v>
      </c>
      <c r="H7" t="s">
        <v>49</v>
      </c>
      <c r="I7" s="2">
        <v>45758</v>
      </c>
      <c r="J7" s="2">
        <f t="shared" ca="1" si="1"/>
        <v>45941</v>
      </c>
      <c r="K7" t="s">
        <v>42</v>
      </c>
      <c r="L7" t="s">
        <v>43</v>
      </c>
      <c r="M7" t="s">
        <v>66</v>
      </c>
      <c r="N7" s="2">
        <v>45776</v>
      </c>
      <c r="O7" s="2">
        <f t="shared" ref="O7:O15" si="2">IFERROR(DATE(YEAR(N7)+1,MONTH(N7),DAY(N7)),"")</f>
        <v>46141</v>
      </c>
      <c r="P7" s="2">
        <v>45776</v>
      </c>
      <c r="Q7" s="2">
        <f t="shared" ref="Q7:Q15" si="3">IFERROR(DATE(YEAR(P7),MONTH(P7)+6,DAY(P7)),"")</f>
        <v>45959</v>
      </c>
      <c r="R7" s="2">
        <v>45916</v>
      </c>
      <c r="S7" s="2">
        <f t="shared" ref="S7:S14" si="4">IFERROR(DATE(YEAR(R7),MONTH(R7)+6,DAY(R7)),"")</f>
        <v>46097</v>
      </c>
      <c r="T7" t="s">
        <v>40</v>
      </c>
      <c r="U7" t="s">
        <v>45</v>
      </c>
      <c r="V7" t="s">
        <v>44</v>
      </c>
      <c r="W7" t="s">
        <v>45</v>
      </c>
      <c r="X7" t="s">
        <v>45</v>
      </c>
      <c r="Y7" t="s">
        <v>40</v>
      </c>
      <c r="AA7" t="s">
        <v>44</v>
      </c>
      <c r="AK7" t="s">
        <v>67</v>
      </c>
    </row>
    <row r="8" spans="1:37" x14ac:dyDescent="0.25">
      <c r="A8">
        <v>1020565016</v>
      </c>
      <c r="B8" t="s">
        <v>141</v>
      </c>
      <c r="C8" s="1">
        <v>42107</v>
      </c>
      <c r="D8" t="str">
        <f t="shared" ca="1" si="0"/>
        <v>10 años 6 meses</v>
      </c>
      <c r="E8" t="s">
        <v>69</v>
      </c>
      <c r="F8" t="s">
        <v>39</v>
      </c>
      <c r="G8" t="s">
        <v>40</v>
      </c>
      <c r="H8" t="s">
        <v>49</v>
      </c>
      <c r="I8" s="2">
        <v>45860</v>
      </c>
      <c r="J8" s="2">
        <f t="shared" ca="1" si="1"/>
        <v>46044</v>
      </c>
      <c r="K8" t="s">
        <v>42</v>
      </c>
      <c r="L8" t="s">
        <v>43</v>
      </c>
      <c r="M8" t="s">
        <v>44</v>
      </c>
      <c r="N8" s="2">
        <v>45635</v>
      </c>
      <c r="O8" s="2">
        <f t="shared" si="2"/>
        <v>46000</v>
      </c>
      <c r="P8" s="2">
        <v>45806</v>
      </c>
      <c r="Q8" s="2">
        <f t="shared" si="3"/>
        <v>45990</v>
      </c>
      <c r="R8" s="2">
        <v>45860</v>
      </c>
      <c r="S8" s="2">
        <f t="shared" si="4"/>
        <v>46044</v>
      </c>
      <c r="T8" s="2">
        <v>45860</v>
      </c>
      <c r="U8" t="s">
        <v>44</v>
      </c>
      <c r="V8" t="s">
        <v>44</v>
      </c>
      <c r="W8" t="s">
        <v>40</v>
      </c>
      <c r="X8" t="s">
        <v>40</v>
      </c>
      <c r="AA8" t="s">
        <v>44</v>
      </c>
      <c r="AK8" t="s">
        <v>70</v>
      </c>
    </row>
    <row r="9" spans="1:37" x14ac:dyDescent="0.25">
      <c r="A9">
        <v>1019984527</v>
      </c>
      <c r="B9" t="s">
        <v>142</v>
      </c>
      <c r="C9" s="1">
        <v>44849</v>
      </c>
      <c r="D9" t="str">
        <f t="shared" ca="1" si="0"/>
        <v>3 años 0 meses</v>
      </c>
      <c r="E9" t="s">
        <v>72</v>
      </c>
      <c r="F9" t="s">
        <v>53</v>
      </c>
      <c r="G9" t="s">
        <v>40</v>
      </c>
      <c r="H9" t="s">
        <v>49</v>
      </c>
      <c r="I9" s="2">
        <v>45860</v>
      </c>
      <c r="J9" s="2">
        <f t="shared" ca="1" si="1"/>
        <v>46044</v>
      </c>
      <c r="K9" t="s">
        <v>42</v>
      </c>
      <c r="L9" t="s">
        <v>43</v>
      </c>
      <c r="M9" t="s">
        <v>66</v>
      </c>
      <c r="N9" s="2">
        <v>45932</v>
      </c>
      <c r="O9" s="2">
        <f t="shared" si="2"/>
        <v>46297</v>
      </c>
      <c r="P9" s="2">
        <v>45932</v>
      </c>
      <c r="Q9" s="2">
        <f t="shared" si="3"/>
        <v>46114</v>
      </c>
      <c r="R9" s="2">
        <v>45860</v>
      </c>
      <c r="S9" s="2">
        <f t="shared" si="4"/>
        <v>46044</v>
      </c>
      <c r="T9" s="2">
        <v>45860</v>
      </c>
      <c r="U9" t="s">
        <v>44</v>
      </c>
      <c r="V9" t="s">
        <v>44</v>
      </c>
      <c r="W9" t="s">
        <v>45</v>
      </c>
      <c r="X9" t="s">
        <v>45</v>
      </c>
      <c r="AA9" t="s">
        <v>44</v>
      </c>
      <c r="AK9" t="s">
        <v>73</v>
      </c>
    </row>
    <row r="10" spans="1:37" x14ac:dyDescent="0.25">
      <c r="A10">
        <v>1019404038</v>
      </c>
      <c r="B10" t="s">
        <v>143</v>
      </c>
      <c r="C10" s="1">
        <v>45499</v>
      </c>
      <c r="D10" t="str">
        <f t="shared" ca="1" si="0"/>
        <v>1 año 3 meses</v>
      </c>
      <c r="E10" t="s">
        <v>75</v>
      </c>
      <c r="F10" t="s">
        <v>53</v>
      </c>
      <c r="G10" t="s">
        <v>40</v>
      </c>
      <c r="H10" t="s">
        <v>49</v>
      </c>
      <c r="I10" s="2">
        <v>45797</v>
      </c>
      <c r="J10" s="2">
        <f t="shared" ca="1" si="1"/>
        <v>45981</v>
      </c>
      <c r="K10" t="s">
        <v>42</v>
      </c>
      <c r="L10" t="s">
        <v>43</v>
      </c>
      <c r="M10" t="s">
        <v>44</v>
      </c>
      <c r="N10" s="2">
        <v>45930</v>
      </c>
      <c r="O10" s="2">
        <f t="shared" si="2"/>
        <v>46295</v>
      </c>
      <c r="P10" s="2">
        <v>45930</v>
      </c>
      <c r="Q10" s="2">
        <f t="shared" si="3"/>
        <v>46111</v>
      </c>
      <c r="R10" s="2">
        <v>45889</v>
      </c>
      <c r="S10" s="2">
        <f t="shared" si="4"/>
        <v>46073</v>
      </c>
      <c r="T10" s="2">
        <v>45685</v>
      </c>
      <c r="U10" t="s">
        <v>44</v>
      </c>
      <c r="V10" t="s">
        <v>44</v>
      </c>
      <c r="W10" t="s">
        <v>45</v>
      </c>
      <c r="X10" t="s">
        <v>40</v>
      </c>
      <c r="AA10" t="s">
        <v>44</v>
      </c>
      <c r="AK10" t="s">
        <v>76</v>
      </c>
    </row>
    <row r="11" spans="1:37" x14ac:dyDescent="0.25">
      <c r="A11">
        <v>1018823549</v>
      </c>
      <c r="B11" t="s">
        <v>144</v>
      </c>
      <c r="C11" s="1">
        <v>45520</v>
      </c>
      <c r="D11" t="str">
        <f t="shared" ca="1" si="0"/>
        <v>1 año 2 meses</v>
      </c>
      <c r="E11" t="s">
        <v>78</v>
      </c>
      <c r="F11" t="s">
        <v>79</v>
      </c>
      <c r="G11" t="s">
        <v>54</v>
      </c>
      <c r="H11" t="s">
        <v>41</v>
      </c>
      <c r="I11" s="2">
        <v>45923</v>
      </c>
      <c r="J11" s="2">
        <f t="shared" ca="1" si="1"/>
        <v>46104</v>
      </c>
      <c r="K11" t="s">
        <v>42</v>
      </c>
      <c r="L11" t="s">
        <v>43</v>
      </c>
      <c r="M11" t="s">
        <v>44</v>
      </c>
      <c r="N11" s="2">
        <v>45749</v>
      </c>
      <c r="O11" s="2">
        <f t="shared" si="2"/>
        <v>46114</v>
      </c>
      <c r="P11" s="2">
        <v>45749</v>
      </c>
      <c r="Q11" s="2">
        <f t="shared" si="3"/>
        <v>45932</v>
      </c>
      <c r="R11" s="2">
        <v>45923</v>
      </c>
      <c r="S11" s="2">
        <f t="shared" si="4"/>
        <v>46104</v>
      </c>
      <c r="T11" s="2">
        <v>45785</v>
      </c>
      <c r="U11" t="s">
        <v>45</v>
      </c>
      <c r="V11" t="s">
        <v>44</v>
      </c>
      <c r="W11" t="s">
        <v>45</v>
      </c>
      <c r="X11" t="s">
        <v>40</v>
      </c>
      <c r="AA11" t="s">
        <v>44</v>
      </c>
      <c r="AK11" t="s">
        <v>80</v>
      </c>
    </row>
    <row r="12" spans="1:37" x14ac:dyDescent="0.25">
      <c r="A12">
        <v>1018243060</v>
      </c>
      <c r="B12" t="s">
        <v>145</v>
      </c>
      <c r="C12" s="1">
        <v>45927</v>
      </c>
      <c r="D12" t="str">
        <f t="shared" ca="1" si="0"/>
        <v>0 años 1 mes</v>
      </c>
      <c r="E12" t="s">
        <v>82</v>
      </c>
      <c r="F12" t="s">
        <v>53</v>
      </c>
      <c r="G12" t="s">
        <v>40</v>
      </c>
      <c r="H12" t="s">
        <v>41</v>
      </c>
      <c r="I12" s="2">
        <v>45902</v>
      </c>
      <c r="J12" s="2">
        <f t="shared" ca="1" si="1"/>
        <v>45993</v>
      </c>
      <c r="K12" t="s">
        <v>42</v>
      </c>
      <c r="L12" t="s">
        <v>43</v>
      </c>
      <c r="M12" t="s">
        <v>44</v>
      </c>
      <c r="N12" s="2">
        <v>45862</v>
      </c>
      <c r="O12" s="2">
        <f t="shared" si="2"/>
        <v>46227</v>
      </c>
      <c r="P12" s="2">
        <v>45862</v>
      </c>
      <c r="Q12" s="2">
        <f t="shared" si="3"/>
        <v>46046</v>
      </c>
      <c r="R12" s="2">
        <v>45902</v>
      </c>
      <c r="S12" s="2">
        <f t="shared" si="4"/>
        <v>46083</v>
      </c>
      <c r="T12" t="s">
        <v>40</v>
      </c>
      <c r="U12" t="s">
        <v>44</v>
      </c>
      <c r="V12" t="s">
        <v>44</v>
      </c>
      <c r="W12" t="s">
        <v>45</v>
      </c>
      <c r="X12" t="s">
        <v>40</v>
      </c>
      <c r="AA12" t="s">
        <v>44</v>
      </c>
      <c r="AK12" t="s">
        <v>83</v>
      </c>
    </row>
    <row r="13" spans="1:37" x14ac:dyDescent="0.25">
      <c r="A13">
        <v>1017662571</v>
      </c>
      <c r="B13" t="s">
        <v>146</v>
      </c>
      <c r="C13" s="1">
        <v>43075</v>
      </c>
      <c r="D13" t="str">
        <f t="shared" ca="1" si="0"/>
        <v>7 años 11 meses</v>
      </c>
      <c r="E13" t="s">
        <v>85</v>
      </c>
      <c r="F13" t="s">
        <v>39</v>
      </c>
      <c r="G13" t="s">
        <v>40</v>
      </c>
      <c r="H13" t="s">
        <v>49</v>
      </c>
      <c r="I13" s="2">
        <v>45827</v>
      </c>
      <c r="J13" s="2">
        <f t="shared" ca="1" si="1"/>
        <v>46010</v>
      </c>
      <c r="K13" t="s">
        <v>42</v>
      </c>
      <c r="L13" t="s">
        <v>43</v>
      </c>
      <c r="M13" t="s">
        <v>50</v>
      </c>
      <c r="N13" s="2">
        <v>45646</v>
      </c>
      <c r="O13" s="2">
        <f t="shared" si="2"/>
        <v>46011</v>
      </c>
      <c r="P13" s="2">
        <v>45805</v>
      </c>
      <c r="Q13" s="2">
        <f t="shared" si="3"/>
        <v>45989</v>
      </c>
      <c r="R13" s="2">
        <v>45827</v>
      </c>
      <c r="S13" s="2">
        <f t="shared" si="4"/>
        <v>46010</v>
      </c>
      <c r="T13" s="2">
        <v>45827</v>
      </c>
      <c r="U13" t="s">
        <v>44</v>
      </c>
      <c r="V13" t="s">
        <v>44</v>
      </c>
      <c r="W13" t="s">
        <v>45</v>
      </c>
      <c r="X13" t="s">
        <v>45</v>
      </c>
      <c r="AA13" t="s">
        <v>44</v>
      </c>
      <c r="AK13" t="s">
        <v>86</v>
      </c>
    </row>
    <row r="14" spans="1:37" x14ac:dyDescent="0.25">
      <c r="A14">
        <v>1017082082</v>
      </c>
      <c r="B14" t="s">
        <v>147</v>
      </c>
      <c r="C14" s="1">
        <v>44810</v>
      </c>
      <c r="D14" t="str">
        <f t="shared" ca="1" si="0"/>
        <v>3 años 2 meses</v>
      </c>
      <c r="E14" t="s">
        <v>88</v>
      </c>
      <c r="F14" t="s">
        <v>89</v>
      </c>
      <c r="G14" t="s">
        <v>40</v>
      </c>
      <c r="H14" t="s">
        <v>49</v>
      </c>
      <c r="I14" s="2">
        <v>45932</v>
      </c>
      <c r="J14" s="2">
        <f t="shared" ca="1" si="1"/>
        <v>46114</v>
      </c>
      <c r="K14" t="s">
        <v>42</v>
      </c>
      <c r="L14" t="s">
        <v>43</v>
      </c>
      <c r="M14" t="s">
        <v>44</v>
      </c>
      <c r="N14" s="2">
        <v>45878</v>
      </c>
      <c r="O14" s="2">
        <f t="shared" si="2"/>
        <v>46243</v>
      </c>
      <c r="P14" s="2">
        <v>45878</v>
      </c>
      <c r="Q14" s="2">
        <f t="shared" si="3"/>
        <v>46062</v>
      </c>
      <c r="R14" s="2">
        <v>45932</v>
      </c>
      <c r="S14" s="2">
        <f t="shared" si="4"/>
        <v>46114</v>
      </c>
      <c r="T14" s="2">
        <v>45586</v>
      </c>
      <c r="U14" t="s">
        <v>44</v>
      </c>
      <c r="V14" t="s">
        <v>44</v>
      </c>
      <c r="W14" t="s">
        <v>45</v>
      </c>
      <c r="X14" t="s">
        <v>40</v>
      </c>
      <c r="AA14" t="s">
        <v>44</v>
      </c>
      <c r="AK14" t="s">
        <v>90</v>
      </c>
    </row>
    <row r="15" spans="1:37" x14ac:dyDescent="0.25">
      <c r="A15">
        <v>1016501593</v>
      </c>
      <c r="B15" t="s">
        <v>148</v>
      </c>
      <c r="C15" s="1">
        <v>43479</v>
      </c>
      <c r="D15" t="str">
        <f t="shared" ca="1" si="0"/>
        <v>6 años 9 meses</v>
      </c>
      <c r="E15" t="s">
        <v>92</v>
      </c>
      <c r="F15" t="s">
        <v>53</v>
      </c>
      <c r="G15" t="s">
        <v>40</v>
      </c>
      <c r="H15" t="s">
        <v>49</v>
      </c>
      <c r="I15" s="2">
        <v>45861</v>
      </c>
      <c r="J15" s="2">
        <f t="shared" ca="1" si="1"/>
        <v>46045</v>
      </c>
      <c r="K15" t="s">
        <v>42</v>
      </c>
      <c r="L15" t="s">
        <v>43</v>
      </c>
      <c r="M15" t="s">
        <v>44</v>
      </c>
      <c r="N15" s="2">
        <v>45937</v>
      </c>
      <c r="O15" s="2">
        <f t="shared" si="2"/>
        <v>46302</v>
      </c>
      <c r="P15" s="2">
        <v>45937</v>
      </c>
      <c r="Q15" s="2">
        <f t="shared" si="3"/>
        <v>46119</v>
      </c>
      <c r="R15" t="s">
        <v>40</v>
      </c>
      <c r="S15" t="s">
        <v>44</v>
      </c>
      <c r="T15" t="s">
        <v>40</v>
      </c>
      <c r="U15" t="s">
        <v>45</v>
      </c>
      <c r="V15" t="s">
        <v>44</v>
      </c>
      <c r="W15" t="s">
        <v>45</v>
      </c>
      <c r="X15" t="s">
        <v>40</v>
      </c>
      <c r="AA15" t="s">
        <v>44</v>
      </c>
      <c r="AK15" t="s">
        <v>93</v>
      </c>
    </row>
    <row r="16" spans="1:37" x14ac:dyDescent="0.25">
      <c r="A16">
        <v>1015921104</v>
      </c>
      <c r="B16" t="s">
        <v>149</v>
      </c>
      <c r="C16" s="1">
        <v>43468</v>
      </c>
      <c r="D16" t="str">
        <f t="shared" ca="1" si="0"/>
        <v>6 años 10 meses</v>
      </c>
      <c r="E16" t="s">
        <v>40</v>
      </c>
      <c r="F16" t="s">
        <v>79</v>
      </c>
      <c r="G16" t="s">
        <v>54</v>
      </c>
      <c r="H16" t="s">
        <v>49</v>
      </c>
      <c r="I16" s="2">
        <v>45871</v>
      </c>
      <c r="J16" s="2">
        <f t="shared" ca="1" si="1"/>
        <v>46055</v>
      </c>
      <c r="K16" t="s">
        <v>42</v>
      </c>
      <c r="L16" t="s">
        <v>43</v>
      </c>
      <c r="M16" t="s">
        <v>44</v>
      </c>
      <c r="N16" t="s">
        <v>40</v>
      </c>
      <c r="P16" t="s">
        <v>54</v>
      </c>
      <c r="R16" t="s">
        <v>40</v>
      </c>
      <c r="T16" t="s">
        <v>40</v>
      </c>
      <c r="U16" t="s">
        <v>44</v>
      </c>
      <c r="V16" t="s">
        <v>44</v>
      </c>
      <c r="W16" t="s">
        <v>45</v>
      </c>
      <c r="AK16" t="s">
        <v>95</v>
      </c>
    </row>
    <row r="17" spans="1:37" x14ac:dyDescent="0.25">
      <c r="A17">
        <v>1015340615</v>
      </c>
      <c r="B17" t="s">
        <v>150</v>
      </c>
      <c r="C17" s="1">
        <v>45751</v>
      </c>
      <c r="D17" t="str">
        <f t="shared" ca="1" si="0"/>
        <v>0 años 7 meses</v>
      </c>
      <c r="E17" t="s">
        <v>97</v>
      </c>
      <c r="F17" t="s">
        <v>53</v>
      </c>
      <c r="G17" t="s">
        <v>40</v>
      </c>
      <c r="H17" t="s">
        <v>41</v>
      </c>
      <c r="I17" s="2">
        <v>45938</v>
      </c>
      <c r="J17" s="2">
        <f t="shared" ca="1" si="1"/>
        <v>46030</v>
      </c>
      <c r="K17" t="s">
        <v>42</v>
      </c>
      <c r="L17" t="s">
        <v>43</v>
      </c>
      <c r="M17" t="s">
        <v>44</v>
      </c>
      <c r="N17" s="2">
        <v>45896</v>
      </c>
      <c r="O17" s="2">
        <f t="shared" ref="O17:O29" si="5">IFERROR(DATE(YEAR(N17)+1,MONTH(N17),DAY(N17)),"")</f>
        <v>46261</v>
      </c>
      <c r="P17" t="s">
        <v>59</v>
      </c>
      <c r="Q17" t="s">
        <v>44</v>
      </c>
      <c r="R17" t="s">
        <v>98</v>
      </c>
      <c r="S17" t="str">
        <f>IFERROR(DATE(YEAR(R17),MONTH(R17)+6,DAY(R17)),"")</f>
        <v/>
      </c>
      <c r="T17" t="s">
        <v>40</v>
      </c>
      <c r="U17" t="s">
        <v>45</v>
      </c>
      <c r="V17" t="s">
        <v>44</v>
      </c>
      <c r="W17" t="s">
        <v>45</v>
      </c>
      <c r="AA17" t="s">
        <v>44</v>
      </c>
      <c r="AK17" t="s">
        <v>99</v>
      </c>
    </row>
    <row r="18" spans="1:37" x14ac:dyDescent="0.25">
      <c r="A18">
        <v>1014760126</v>
      </c>
      <c r="B18" t="s">
        <v>151</v>
      </c>
      <c r="C18" s="1">
        <v>42482</v>
      </c>
      <c r="D18" t="str">
        <f t="shared" ca="1" si="0"/>
        <v>9 años 6 meses</v>
      </c>
      <c r="E18" t="s">
        <v>101</v>
      </c>
      <c r="F18" t="s">
        <v>53</v>
      </c>
      <c r="G18" t="s">
        <v>40</v>
      </c>
      <c r="H18" t="s">
        <v>41</v>
      </c>
      <c r="I18" s="2">
        <v>45916</v>
      </c>
      <c r="J18" s="2">
        <f t="shared" ca="1" si="1"/>
        <v>46097</v>
      </c>
      <c r="K18" t="s">
        <v>42</v>
      </c>
      <c r="L18" t="s">
        <v>43</v>
      </c>
      <c r="M18" t="s">
        <v>44</v>
      </c>
      <c r="N18" t="s">
        <v>40</v>
      </c>
      <c r="O18" t="str">
        <f t="shared" si="5"/>
        <v/>
      </c>
      <c r="P18" t="s">
        <v>59</v>
      </c>
      <c r="Q18" t="str">
        <f t="shared" ref="Q18:Q23" si="6">IFERROR(DATE(YEAR(P18),MONTH(P18)+6,DAY(P18)),"")</f>
        <v/>
      </c>
      <c r="R18" t="s">
        <v>98</v>
      </c>
      <c r="S18" t="str">
        <f>IFERROR(DATE(YEAR(R18),MONTH(R18)+6,DAY(R18)),"")</f>
        <v/>
      </c>
      <c r="T18" t="s">
        <v>40</v>
      </c>
      <c r="U18" t="s">
        <v>40</v>
      </c>
      <c r="V18" t="s">
        <v>44</v>
      </c>
      <c r="W18" t="s">
        <v>45</v>
      </c>
      <c r="AA18" t="s">
        <v>44</v>
      </c>
      <c r="AK18" t="s">
        <v>102</v>
      </c>
    </row>
    <row r="19" spans="1:37" x14ac:dyDescent="0.25">
      <c r="A19">
        <v>1014179637</v>
      </c>
      <c r="B19" t="s">
        <v>152</v>
      </c>
      <c r="C19" s="1">
        <v>45380</v>
      </c>
      <c r="D19" t="str">
        <f t="shared" ca="1" si="0"/>
        <v>1 año 7 meses</v>
      </c>
      <c r="E19" t="s">
        <v>40</v>
      </c>
      <c r="F19" t="s">
        <v>79</v>
      </c>
      <c r="G19" t="s">
        <v>54</v>
      </c>
      <c r="H19" t="s">
        <v>41</v>
      </c>
      <c r="I19" s="2">
        <v>45869</v>
      </c>
      <c r="J19" s="2">
        <f t="shared" ca="1" si="1"/>
        <v>46053</v>
      </c>
      <c r="K19" t="s">
        <v>42</v>
      </c>
      <c r="L19" t="s">
        <v>43</v>
      </c>
      <c r="M19" t="s">
        <v>44</v>
      </c>
      <c r="N19" s="2">
        <v>45902</v>
      </c>
      <c r="O19" s="2">
        <f t="shared" si="5"/>
        <v>46267</v>
      </c>
      <c r="P19" s="2">
        <v>45902</v>
      </c>
      <c r="Q19" s="2">
        <f t="shared" si="6"/>
        <v>46083</v>
      </c>
      <c r="R19" t="s">
        <v>40</v>
      </c>
      <c r="T19" t="s">
        <v>40</v>
      </c>
      <c r="U19" t="s">
        <v>44</v>
      </c>
      <c r="V19" t="s">
        <v>44</v>
      </c>
      <c r="W19" s="2">
        <v>45923</v>
      </c>
      <c r="AA19" t="s">
        <v>44</v>
      </c>
      <c r="AK19" t="s">
        <v>104</v>
      </c>
    </row>
    <row r="20" spans="1:37" x14ac:dyDescent="0.25">
      <c r="A20">
        <v>1013599148</v>
      </c>
      <c r="B20" t="s">
        <v>153</v>
      </c>
      <c r="C20" s="1">
        <v>44561</v>
      </c>
      <c r="D20" t="str">
        <f t="shared" ca="1" si="0"/>
        <v>3 años 10 meses</v>
      </c>
      <c r="E20" t="s">
        <v>106</v>
      </c>
      <c r="F20" t="s">
        <v>53</v>
      </c>
      <c r="G20" t="s">
        <v>107</v>
      </c>
      <c r="H20" t="s">
        <v>41</v>
      </c>
      <c r="I20" s="2">
        <v>45863</v>
      </c>
      <c r="J20" s="2">
        <f t="shared" ca="1" si="1"/>
        <v>46047</v>
      </c>
      <c r="K20" t="s">
        <v>42</v>
      </c>
      <c r="L20" t="s">
        <v>43</v>
      </c>
      <c r="M20" t="s">
        <v>44</v>
      </c>
      <c r="N20" t="s">
        <v>108</v>
      </c>
      <c r="O20" t="str">
        <f t="shared" si="5"/>
        <v/>
      </c>
      <c r="P20" t="s">
        <v>59</v>
      </c>
      <c r="Q20" t="str">
        <f t="shared" si="6"/>
        <v/>
      </c>
      <c r="R20" t="s">
        <v>98</v>
      </c>
      <c r="S20" t="str">
        <f>IFERROR(DATE(YEAR(R20),MONTH(R20)+6,DAY(R20)),"")</f>
        <v/>
      </c>
      <c r="T20" t="s">
        <v>40</v>
      </c>
      <c r="U20" t="s">
        <v>45</v>
      </c>
      <c r="V20" t="s">
        <v>44</v>
      </c>
      <c r="W20" t="s">
        <v>40</v>
      </c>
      <c r="AA20" t="s">
        <v>44</v>
      </c>
      <c r="AK20" t="s">
        <v>109</v>
      </c>
    </row>
    <row r="21" spans="1:37" x14ac:dyDescent="0.25">
      <c r="A21">
        <v>1013018659</v>
      </c>
      <c r="B21" t="s">
        <v>154</v>
      </c>
      <c r="C21" s="1">
        <v>42469</v>
      </c>
      <c r="D21" t="str">
        <f t="shared" ca="1" si="0"/>
        <v>9 años 6 meses</v>
      </c>
      <c r="E21" t="s">
        <v>111</v>
      </c>
      <c r="F21" t="s">
        <v>53</v>
      </c>
      <c r="G21" t="s">
        <v>54</v>
      </c>
      <c r="H21" t="s">
        <v>41</v>
      </c>
      <c r="I21" s="2">
        <v>45805</v>
      </c>
      <c r="J21" s="2">
        <f t="shared" ca="1" si="1"/>
        <v>45989</v>
      </c>
      <c r="K21" t="s">
        <v>42</v>
      </c>
      <c r="L21" t="s">
        <v>43</v>
      </c>
      <c r="M21" t="s">
        <v>44</v>
      </c>
      <c r="N21" s="2">
        <v>45779</v>
      </c>
      <c r="O21" s="2">
        <f t="shared" si="5"/>
        <v>46144</v>
      </c>
      <c r="P21" s="2">
        <v>45779</v>
      </c>
      <c r="Q21" s="2">
        <f t="shared" si="6"/>
        <v>45963</v>
      </c>
      <c r="R21" s="2">
        <v>45883</v>
      </c>
      <c r="S21" s="2">
        <f>IFERROR(DATE(YEAR(R21),MONTH(R21)+6,DAY(R21)),"")</f>
        <v>46067</v>
      </c>
      <c r="T21" t="s">
        <v>40</v>
      </c>
      <c r="U21" t="s">
        <v>44</v>
      </c>
      <c r="V21" t="s">
        <v>44</v>
      </c>
      <c r="W21" t="s">
        <v>45</v>
      </c>
      <c r="AA21" t="s">
        <v>44</v>
      </c>
      <c r="AK21" t="s">
        <v>112</v>
      </c>
    </row>
    <row r="22" spans="1:37" x14ac:dyDescent="0.25">
      <c r="A22">
        <v>1012438170</v>
      </c>
      <c r="B22" t="s">
        <v>155</v>
      </c>
      <c r="C22" s="1">
        <v>45100</v>
      </c>
      <c r="D22" t="str">
        <f t="shared" ca="1" si="0"/>
        <v>2 años 4 meses</v>
      </c>
      <c r="E22" t="s">
        <v>114</v>
      </c>
      <c r="F22" t="s">
        <v>53</v>
      </c>
      <c r="G22" t="s">
        <v>40</v>
      </c>
      <c r="H22" t="s">
        <v>49</v>
      </c>
      <c r="I22" s="2">
        <v>45924</v>
      </c>
      <c r="J22" s="2">
        <f t="shared" ca="1" si="1"/>
        <v>46105</v>
      </c>
      <c r="K22" t="s">
        <v>42</v>
      </c>
      <c r="L22" t="s">
        <v>43</v>
      </c>
      <c r="M22" t="s">
        <v>50</v>
      </c>
      <c r="N22" s="2">
        <v>45775</v>
      </c>
      <c r="O22" s="2">
        <f t="shared" si="5"/>
        <v>46140</v>
      </c>
      <c r="P22" s="2">
        <v>45775</v>
      </c>
      <c r="Q22" s="2">
        <f t="shared" si="6"/>
        <v>45958</v>
      </c>
      <c r="R22" s="2">
        <v>45826</v>
      </c>
      <c r="S22" s="2">
        <f>IFERROR(DATE(YEAR(R22),MONTH(R22)+6,DAY(R22)),"")</f>
        <v>46009</v>
      </c>
      <c r="T22" s="2">
        <v>45803</v>
      </c>
      <c r="U22" t="s">
        <v>44</v>
      </c>
      <c r="V22" t="s">
        <v>44</v>
      </c>
      <c r="W22" t="s">
        <v>45</v>
      </c>
      <c r="X22" t="s">
        <v>45</v>
      </c>
      <c r="AA22" t="s">
        <v>44</v>
      </c>
      <c r="AK22" t="s">
        <v>115</v>
      </c>
    </row>
    <row r="23" spans="1:37" x14ac:dyDescent="0.25">
      <c r="A23">
        <v>1011857681</v>
      </c>
      <c r="B23" t="s">
        <v>156</v>
      </c>
      <c r="C23" s="1">
        <v>45612</v>
      </c>
      <c r="D23" t="str">
        <f t="shared" ca="1" si="0"/>
        <v>0 años 11 meses</v>
      </c>
      <c r="E23" t="s">
        <v>117</v>
      </c>
      <c r="F23" t="s">
        <v>53</v>
      </c>
      <c r="G23" t="s">
        <v>40</v>
      </c>
      <c r="H23" t="s">
        <v>49</v>
      </c>
      <c r="I23" s="2">
        <v>45793</v>
      </c>
      <c r="J23" s="2">
        <f t="shared" ca="1" si="1"/>
        <v>45885</v>
      </c>
      <c r="K23" t="s">
        <v>42</v>
      </c>
      <c r="L23" t="s">
        <v>43</v>
      </c>
      <c r="M23" t="s">
        <v>44</v>
      </c>
      <c r="N23" s="2">
        <v>45878</v>
      </c>
      <c r="O23" s="2">
        <f t="shared" si="5"/>
        <v>46243</v>
      </c>
      <c r="P23" s="2">
        <v>45878</v>
      </c>
      <c r="Q23" s="2">
        <f t="shared" si="6"/>
        <v>46062</v>
      </c>
      <c r="R23" s="2">
        <v>45728</v>
      </c>
      <c r="S23" s="2">
        <f>IFERROR(DATE(YEAR(R23),MONTH(R23)+6,DAY(R23)),"")</f>
        <v>45912</v>
      </c>
      <c r="T23" s="2">
        <v>45793</v>
      </c>
      <c r="U23" t="s">
        <v>44</v>
      </c>
      <c r="V23" t="s">
        <v>44</v>
      </c>
      <c r="W23" t="s">
        <v>45</v>
      </c>
      <c r="X23" t="s">
        <v>45</v>
      </c>
      <c r="AA23" t="s">
        <v>44</v>
      </c>
      <c r="AK23" t="s">
        <v>118</v>
      </c>
    </row>
    <row r="24" spans="1:37" x14ac:dyDescent="0.25">
      <c r="A24">
        <v>1011277192</v>
      </c>
      <c r="B24" t="s">
        <v>157</v>
      </c>
      <c r="C24" s="1">
        <v>42114</v>
      </c>
      <c r="D24" t="str">
        <f t="shared" ca="1" si="0"/>
        <v>10 años 6 meses</v>
      </c>
      <c r="E24" t="s">
        <v>48</v>
      </c>
      <c r="F24" t="s">
        <v>53</v>
      </c>
      <c r="G24" t="s">
        <v>40</v>
      </c>
      <c r="H24" t="s">
        <v>41</v>
      </c>
      <c r="I24" s="2">
        <v>45924</v>
      </c>
      <c r="J24" s="2">
        <f t="shared" ca="1" si="1"/>
        <v>46105</v>
      </c>
      <c r="K24" t="s">
        <v>42</v>
      </c>
      <c r="L24" t="s">
        <v>43</v>
      </c>
      <c r="M24" t="s">
        <v>44</v>
      </c>
      <c r="N24" s="2">
        <v>45818</v>
      </c>
      <c r="O24" s="2">
        <f t="shared" si="5"/>
        <v>46183</v>
      </c>
      <c r="P24" t="s">
        <v>59</v>
      </c>
      <c r="Q24" t="s">
        <v>44</v>
      </c>
      <c r="R24" t="s">
        <v>98</v>
      </c>
      <c r="S24" t="s">
        <v>44</v>
      </c>
      <c r="T24" t="s">
        <v>40</v>
      </c>
      <c r="U24" t="s">
        <v>45</v>
      </c>
      <c r="V24" t="s">
        <v>44</v>
      </c>
      <c r="W24" t="s">
        <v>45</v>
      </c>
      <c r="AA24" t="s">
        <v>44</v>
      </c>
      <c r="AK24" t="s">
        <v>120</v>
      </c>
    </row>
    <row r="25" spans="1:37" x14ac:dyDescent="0.25">
      <c r="A25">
        <v>1010696703</v>
      </c>
      <c r="B25" t="s">
        <v>158</v>
      </c>
      <c r="C25" s="1">
        <v>43506</v>
      </c>
      <c r="D25" t="str">
        <f t="shared" ca="1" si="0"/>
        <v>6 años 8 meses</v>
      </c>
      <c r="E25" t="s">
        <v>40</v>
      </c>
      <c r="F25" t="s">
        <v>79</v>
      </c>
      <c r="G25" t="s">
        <v>40</v>
      </c>
      <c r="H25" t="s">
        <v>49</v>
      </c>
      <c r="I25" s="2">
        <v>45744</v>
      </c>
      <c r="J25" s="2">
        <f t="shared" ca="1" si="1"/>
        <v>45928</v>
      </c>
      <c r="K25" t="s">
        <v>42</v>
      </c>
      <c r="L25" t="s">
        <v>43</v>
      </c>
      <c r="M25" t="s">
        <v>122</v>
      </c>
      <c r="N25" s="2">
        <v>45744</v>
      </c>
      <c r="O25" s="2">
        <f t="shared" si="5"/>
        <v>46109</v>
      </c>
      <c r="P25" s="2">
        <v>45744</v>
      </c>
      <c r="Q25" s="2">
        <f>IFERROR(DATE(YEAR(P25),MONTH(P25)+6,DAY(P25)),"")</f>
        <v>45928</v>
      </c>
      <c r="R25" s="2">
        <v>45744</v>
      </c>
      <c r="S25" s="2">
        <f>IFERROR(DATE(YEAR(R25),MONTH(R25)+6,DAY(R25)),"")</f>
        <v>45928</v>
      </c>
      <c r="T25" s="2">
        <v>45744</v>
      </c>
      <c r="U25" t="s">
        <v>44</v>
      </c>
      <c r="V25" t="s">
        <v>44</v>
      </c>
      <c r="W25" t="s">
        <v>45</v>
      </c>
      <c r="X25" t="s">
        <v>45</v>
      </c>
      <c r="AA25" t="s">
        <v>44</v>
      </c>
      <c r="AK25" t="s">
        <v>123</v>
      </c>
    </row>
    <row r="26" spans="1:37" x14ac:dyDescent="0.25">
      <c r="A26">
        <v>1010116214</v>
      </c>
      <c r="B26" t="s">
        <v>159</v>
      </c>
      <c r="C26" s="1">
        <v>45519</v>
      </c>
      <c r="D26" t="str">
        <f t="shared" ca="1" si="0"/>
        <v>1 año 2 meses</v>
      </c>
      <c r="E26" t="s">
        <v>125</v>
      </c>
      <c r="F26" t="s">
        <v>79</v>
      </c>
      <c r="G26" t="s">
        <v>40</v>
      </c>
      <c r="H26" t="s">
        <v>49</v>
      </c>
      <c r="I26" s="2">
        <v>45931</v>
      </c>
      <c r="J26" s="2">
        <f t="shared" ca="1" si="1"/>
        <v>46113</v>
      </c>
      <c r="K26" t="s">
        <v>42</v>
      </c>
      <c r="L26" t="s">
        <v>43</v>
      </c>
      <c r="M26" t="s">
        <v>50</v>
      </c>
      <c r="N26" s="2">
        <v>45946</v>
      </c>
      <c r="O26" s="2">
        <f t="shared" si="5"/>
        <v>46311</v>
      </c>
      <c r="P26" s="2">
        <v>45946</v>
      </c>
      <c r="Q26" s="2">
        <f>IFERROR(DATE(YEAR(P26),MONTH(P26)+6,DAY(P26)),"")</f>
        <v>46128</v>
      </c>
      <c r="R26" s="2">
        <v>45931</v>
      </c>
      <c r="S26" s="2">
        <f>IFERROR(DATE(YEAR(R26),MONTH(R26)+6,DAY(R26)),"")</f>
        <v>46113</v>
      </c>
      <c r="T26" s="2">
        <v>45719</v>
      </c>
      <c r="U26" t="s">
        <v>44</v>
      </c>
      <c r="V26" t="s">
        <v>44</v>
      </c>
      <c r="W26" t="s">
        <v>45</v>
      </c>
      <c r="X26" t="s">
        <v>40</v>
      </c>
      <c r="AA26" t="s">
        <v>44</v>
      </c>
      <c r="AK26" t="s">
        <v>126</v>
      </c>
    </row>
    <row r="27" spans="1:37" x14ac:dyDescent="0.25">
      <c r="A27">
        <v>1009535725</v>
      </c>
      <c r="B27" t="s">
        <v>160</v>
      </c>
      <c r="C27" s="1">
        <v>45612</v>
      </c>
      <c r="D27" t="str">
        <f t="shared" ca="1" si="0"/>
        <v>0 años 11 meses</v>
      </c>
      <c r="E27" t="s">
        <v>101</v>
      </c>
      <c r="F27" t="s">
        <v>79</v>
      </c>
      <c r="G27" t="s">
        <v>40</v>
      </c>
      <c r="H27" t="s">
        <v>49</v>
      </c>
      <c r="I27" s="2">
        <v>45890</v>
      </c>
      <c r="J27" s="2">
        <f t="shared" ca="1" si="1"/>
        <v>45982</v>
      </c>
      <c r="K27" t="s">
        <v>42</v>
      </c>
      <c r="L27" t="s">
        <v>43</v>
      </c>
      <c r="M27" t="s">
        <v>44</v>
      </c>
      <c r="N27" s="2">
        <v>45853</v>
      </c>
      <c r="O27" s="2">
        <f t="shared" si="5"/>
        <v>46218</v>
      </c>
      <c r="P27" s="2">
        <v>45853</v>
      </c>
      <c r="Q27" s="2">
        <f>IFERROR(DATE(YEAR(P27),MONTH(P27)+6,DAY(P27)),"")</f>
        <v>46037</v>
      </c>
      <c r="R27" s="2">
        <v>45853</v>
      </c>
      <c r="S27" s="2">
        <f>IFERROR(DATE(YEAR(R27),MONTH(R27)+6,DAY(R27)),"")</f>
        <v>46037</v>
      </c>
      <c r="T27" s="2">
        <v>45670</v>
      </c>
      <c r="U27" t="s">
        <v>44</v>
      </c>
      <c r="V27" t="s">
        <v>44</v>
      </c>
      <c r="W27" t="s">
        <v>45</v>
      </c>
      <c r="X27" t="s">
        <v>40</v>
      </c>
      <c r="AA27" t="s">
        <v>44</v>
      </c>
      <c r="AK27" t="s">
        <v>128</v>
      </c>
    </row>
    <row r="28" spans="1:37" x14ac:dyDescent="0.25">
      <c r="A28">
        <v>1008955236</v>
      </c>
      <c r="B28" t="s">
        <v>161</v>
      </c>
      <c r="C28" s="1">
        <v>42977</v>
      </c>
      <c r="D28" t="str">
        <f t="shared" ca="1" si="0"/>
        <v>8 años 2 meses</v>
      </c>
      <c r="E28" t="s">
        <v>40</v>
      </c>
      <c r="F28" t="s">
        <v>39</v>
      </c>
      <c r="G28" t="s">
        <v>54</v>
      </c>
      <c r="H28" t="s">
        <v>41</v>
      </c>
      <c r="I28" s="2">
        <v>45779</v>
      </c>
      <c r="J28" s="2">
        <f t="shared" ca="1" si="1"/>
        <v>45963</v>
      </c>
      <c r="K28" t="s">
        <v>42</v>
      </c>
      <c r="L28" t="s">
        <v>43</v>
      </c>
      <c r="M28" t="s">
        <v>44</v>
      </c>
      <c r="N28" s="2">
        <v>45944</v>
      </c>
      <c r="O28" s="2">
        <f t="shared" si="5"/>
        <v>46309</v>
      </c>
      <c r="P28" s="2">
        <v>45944</v>
      </c>
      <c r="Q28" s="2">
        <f>IFERROR(DATE(YEAR(P28),MONTH(P28)+6,DAY(P28)),"")</f>
        <v>46126</v>
      </c>
      <c r="R28" s="2">
        <v>45779</v>
      </c>
      <c r="S28" s="2">
        <f>IFERROR(DATE(YEAR(R28),MONTH(R28)+6,DAY(R28)),"")</f>
        <v>45963</v>
      </c>
      <c r="T28" s="2">
        <v>45779</v>
      </c>
      <c r="U28" t="s">
        <v>44</v>
      </c>
      <c r="V28" t="s">
        <v>44</v>
      </c>
      <c r="W28" t="s">
        <v>45</v>
      </c>
      <c r="AA28" t="s">
        <v>44</v>
      </c>
      <c r="AK28" t="s">
        <v>130</v>
      </c>
    </row>
    <row r="29" spans="1:37" x14ac:dyDescent="0.25">
      <c r="A29">
        <v>1008374747</v>
      </c>
      <c r="B29" t="s">
        <v>162</v>
      </c>
      <c r="C29" s="1">
        <v>42612</v>
      </c>
      <c r="D29" t="str">
        <f t="shared" ca="1" si="0"/>
        <v>9 años 2 meses</v>
      </c>
      <c r="E29" t="s">
        <v>132</v>
      </c>
      <c r="F29" t="s">
        <v>133</v>
      </c>
      <c r="G29" t="s">
        <v>40</v>
      </c>
      <c r="H29" t="s">
        <v>49</v>
      </c>
      <c r="I29" s="2">
        <v>45867</v>
      </c>
      <c r="J29" s="2">
        <f t="shared" ca="1" si="1"/>
        <v>46051</v>
      </c>
      <c r="K29" t="s">
        <v>42</v>
      </c>
      <c r="L29" t="s">
        <v>43</v>
      </c>
      <c r="M29" t="s">
        <v>44</v>
      </c>
      <c r="N29" s="2">
        <v>45881</v>
      </c>
      <c r="O29" s="2">
        <f t="shared" si="5"/>
        <v>46246</v>
      </c>
      <c r="P29" s="2">
        <v>45881</v>
      </c>
      <c r="Q29" s="2">
        <f>IFERROR(DATE(YEAR(P29),MONTH(P29)+6,DAY(P29)),"")</f>
        <v>46065</v>
      </c>
      <c r="R29" s="2">
        <v>45944</v>
      </c>
      <c r="S29" s="2">
        <f>IFERROR(DATE(YEAR(R29),MONTH(R29)+6,DAY(R29)),"")</f>
        <v>46126</v>
      </c>
      <c r="T29" s="2">
        <v>45720</v>
      </c>
      <c r="U29" t="s">
        <v>44</v>
      </c>
      <c r="V29" t="s">
        <v>44</v>
      </c>
      <c r="W29" t="s">
        <v>45</v>
      </c>
      <c r="X29" t="s">
        <v>45</v>
      </c>
      <c r="Y29" t="s">
        <v>40</v>
      </c>
      <c r="AA29" t="s">
        <v>44</v>
      </c>
      <c r="AK29" t="s">
        <v>134</v>
      </c>
    </row>
    <row r="30" spans="1:37" x14ac:dyDescent="0.25">
      <c r="C30" s="1"/>
      <c r="AK30" t="s">
        <v>163</v>
      </c>
    </row>
    <row r="31" spans="1:37" x14ac:dyDescent="0.25">
      <c r="C31" s="1"/>
      <c r="AK31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31"/>
  <sheetViews>
    <sheetView topLeftCell="A27" workbookViewId="0">
      <selection activeCell="A30" sqref="A30:A37"/>
    </sheetView>
  </sheetViews>
  <sheetFormatPr baseColWidth="10"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3" t="s">
        <v>36</v>
      </c>
    </row>
    <row r="2" spans="1:37" x14ac:dyDescent="0.25">
      <c r="A2">
        <v>1020565010</v>
      </c>
      <c r="B2" t="s">
        <v>165</v>
      </c>
      <c r="C2" s="1">
        <v>44137</v>
      </c>
      <c r="D2" t="str">
        <f ca="1">DATEDIF(C2,TODAY(),"Y") &amp; " año" &amp; IF(DATEDIF(C2,TODAY(),"Y")=1,"","s")&amp; " " &amp; DATEDIF(C2,TODAY(),"YM") &amp; " mes"&amp; IF(DATEDIF(C2,TODAY(),"YM")=1,"","es")</f>
        <v>5 años 0 meses</v>
      </c>
      <c r="E2" t="s">
        <v>38</v>
      </c>
      <c r="F2" t="s">
        <v>39</v>
      </c>
      <c r="G2" t="s">
        <v>40</v>
      </c>
      <c r="H2" t="s">
        <v>41</v>
      </c>
      <c r="I2" s="2">
        <v>45925</v>
      </c>
      <c r="J2" s="2">
        <f ca="1">IFERROR(IF(DATEDIF(C2,TODAY(),"Y")&gt;=1,DATE(YEAR(I2),MONTH(I2)+6,DAY(I2)),DATE(YEAR(I2),MONTH(I2)+3,DAY(I2))),"NO")</f>
        <v>46106</v>
      </c>
      <c r="K2" t="s">
        <v>42</v>
      </c>
      <c r="L2" t="s">
        <v>43</v>
      </c>
      <c r="M2" t="s">
        <v>44</v>
      </c>
      <c r="N2" s="2">
        <v>45895</v>
      </c>
      <c r="O2" s="2">
        <f>IFERROR(DATE(YEAR(N2)+1,MONTH(N2),DAY(N2)),"")</f>
        <v>46260</v>
      </c>
      <c r="P2" s="2">
        <v>45895</v>
      </c>
      <c r="Q2" s="2">
        <f>IFERROR(DATE(YEAR(P2),MONTH(P2)+6,DAY(P2)),"")</f>
        <v>46079</v>
      </c>
      <c r="R2" s="2">
        <v>45777</v>
      </c>
      <c r="S2" s="2">
        <f>IFERROR(DATE(YEAR(R2),MONTH(R2)+6,DAY(R2)),"")</f>
        <v>45960</v>
      </c>
      <c r="T2" s="2">
        <v>45777</v>
      </c>
      <c r="U2" t="s">
        <v>44</v>
      </c>
      <c r="V2" t="s">
        <v>44</v>
      </c>
      <c r="W2" t="s">
        <v>45</v>
      </c>
      <c r="X2" t="s">
        <v>40</v>
      </c>
      <c r="AA2" t="s">
        <v>44</v>
      </c>
      <c r="AK2" t="s">
        <v>166</v>
      </c>
    </row>
    <row r="3" spans="1:37" x14ac:dyDescent="0.25">
      <c r="A3">
        <v>1019984511</v>
      </c>
      <c r="B3" t="s">
        <v>167</v>
      </c>
      <c r="C3" s="1">
        <v>43528</v>
      </c>
      <c r="D3" t="str">
        <f ca="1">DATEDIF(C3,TODAY(),"Y") &amp; " año" &amp; IF(DATEDIF(C3,TODAY(),"Y")=1,"","s")&amp; " " &amp; DATEDIF(C3,TODAY(),"YM") &amp; " mes"&amp; IF(DATEDIF(C3,TODAY(),"YM")=1,"","es")</f>
        <v>6 años 8 meses</v>
      </c>
      <c r="E3" t="s">
        <v>48</v>
      </c>
      <c r="F3" t="s">
        <v>39</v>
      </c>
      <c r="G3" t="s">
        <v>40</v>
      </c>
      <c r="H3" t="s">
        <v>49</v>
      </c>
      <c r="I3" s="2">
        <v>45925</v>
      </c>
      <c r="J3" s="2">
        <f ca="1">IFERROR(IF(DATEDIF(C3,TODAY(),"Y")&gt;=1,DATE(YEAR(I3),MONTH(I3)+6,DAY(I3)),DATE(YEAR(I3),MONTH(I3)+3,DAY(I3))),"NO")</f>
        <v>46106</v>
      </c>
      <c r="K3" t="s">
        <v>42</v>
      </c>
      <c r="L3" t="s">
        <v>43</v>
      </c>
      <c r="M3" t="s">
        <v>50</v>
      </c>
      <c r="N3" s="2">
        <v>45929</v>
      </c>
      <c r="O3" s="2">
        <f>IFERROR(DATE(YEAR(N3)+1,MONTH(N3),DAY(N3)),"")</f>
        <v>46294</v>
      </c>
      <c r="P3" s="2">
        <v>45929</v>
      </c>
      <c r="Q3" s="2">
        <f>IFERROR(DATE(YEAR(P3),MONTH(P3)+6,DAY(P3)),"")</f>
        <v>46110</v>
      </c>
      <c r="R3" s="2">
        <v>45925</v>
      </c>
      <c r="S3" s="2">
        <f>IFERROR(DATE(YEAR(R3),MONTH(R3)+6,DAY(R3)),"")</f>
        <v>46106</v>
      </c>
      <c r="T3" s="2">
        <v>45580</v>
      </c>
      <c r="U3" t="s">
        <v>44</v>
      </c>
      <c r="V3" t="s">
        <v>44</v>
      </c>
      <c r="W3" t="s">
        <v>45</v>
      </c>
      <c r="X3" t="s">
        <v>45</v>
      </c>
      <c r="Y3" t="s">
        <v>40</v>
      </c>
      <c r="AA3" t="s">
        <v>44</v>
      </c>
      <c r="AK3" t="s">
        <v>168</v>
      </c>
    </row>
    <row r="4" spans="1:37" x14ac:dyDescent="0.25">
      <c r="A4">
        <v>1019404012</v>
      </c>
      <c r="B4" t="s">
        <v>169</v>
      </c>
      <c r="C4" s="1">
        <v>45702</v>
      </c>
      <c r="D4" t="str">
        <f ca="1">DATEDIF(C4,TODAY(),"Y") &amp; " año" &amp; IF(DATEDIF(C4,TODAY(),"Y")=1,"","s")&amp; " " &amp; DATEDIF(C4,TODAY(),"YM") &amp; " mes"&amp; IF(DATEDIF(C4,TODAY(),"YM")=1,"","es")</f>
        <v>0 años 8 meses</v>
      </c>
      <c r="E4" t="s">
        <v>40</v>
      </c>
      <c r="F4" t="s">
        <v>53</v>
      </c>
      <c r="G4" t="s">
        <v>54</v>
      </c>
      <c r="H4" t="s">
        <v>49</v>
      </c>
      <c r="I4" s="2">
        <v>45805</v>
      </c>
      <c r="J4" s="2">
        <f ca="1">IFERROR(IF(DATEDIF(C4,TODAY(),"Y")&gt;=1,DATE(YEAR(I4),MONTH(I4)+6,DAY(I4)),DATE(YEAR(I4),MONTH(I4)+3,DAY(I4))),"NO")</f>
        <v>45897</v>
      </c>
      <c r="K4" t="s">
        <v>42</v>
      </c>
      <c r="L4" t="s">
        <v>43</v>
      </c>
      <c r="M4" t="s">
        <v>55</v>
      </c>
      <c r="N4" s="2">
        <v>45901</v>
      </c>
      <c r="O4" s="2">
        <f>IFERROR(DATE(YEAR(N4)+1,MONTH(N4),DAY(N4)),"")</f>
        <v>46266</v>
      </c>
      <c r="P4" s="2">
        <v>45901</v>
      </c>
      <c r="Q4" s="2">
        <f>IFERROR(DATE(YEAR(P4),MONTH(P4)+6,DAY(P4)),"")</f>
        <v>46082</v>
      </c>
      <c r="R4" s="2">
        <v>45717</v>
      </c>
      <c r="S4" s="2">
        <f>IFERROR(DATE(YEAR(R4),MONTH(R4)+6,DAY(R4)),"")</f>
        <v>45901</v>
      </c>
      <c r="T4" s="2">
        <v>45717</v>
      </c>
      <c r="U4" t="s">
        <v>44</v>
      </c>
      <c r="V4" t="s">
        <v>44</v>
      </c>
      <c r="W4" t="s">
        <v>45</v>
      </c>
      <c r="X4" t="s">
        <v>45</v>
      </c>
      <c r="Y4" t="s">
        <v>40</v>
      </c>
      <c r="AA4" t="s">
        <v>44</v>
      </c>
      <c r="AK4" t="s">
        <v>170</v>
      </c>
    </row>
    <row r="5" spans="1:37" x14ac:dyDescent="0.25">
      <c r="A5">
        <v>1018823513</v>
      </c>
      <c r="B5" t="s">
        <v>171</v>
      </c>
      <c r="C5" s="1">
        <v>45349</v>
      </c>
      <c r="D5" t="str">
        <f ca="1">DATEDIF(C5,TODAY(),"Y") &amp; " año" &amp; IF(DATEDIF(C5,TODAY(),"Y")=1,"","s")&amp; " " &amp; DATEDIF(C5,TODAY(),"YM") &amp; " mes"&amp; IF(DATEDIF(C5,TODAY(),"YM")=1,"","es")</f>
        <v>1 año 8 meses</v>
      </c>
      <c r="E5" t="s">
        <v>58</v>
      </c>
      <c r="F5" t="s">
        <v>53</v>
      </c>
      <c r="G5" t="s">
        <v>40</v>
      </c>
      <c r="H5" t="s">
        <v>41</v>
      </c>
      <c r="I5" s="2">
        <v>45875</v>
      </c>
      <c r="J5" s="2">
        <f ca="1">IFERROR(IF(DATEDIF(C5,TODAY(),"Y")&gt;=1,DATE(YEAR(I5),MONTH(I5)+6,DAY(I5)),DATE(YEAR(I5),MONTH(I5)+3,DAY(I5))),"NO")</f>
        <v>46059</v>
      </c>
      <c r="K5" t="s">
        <v>42</v>
      </c>
      <c r="L5" t="s">
        <v>43</v>
      </c>
      <c r="M5" t="s">
        <v>44</v>
      </c>
      <c r="N5" s="2">
        <v>45869</v>
      </c>
      <c r="O5" s="2">
        <f>IFERROR(DATE(YEAR(N5)+1,MONTH(N5),DAY(N5)),"")</f>
        <v>46234</v>
      </c>
      <c r="P5" t="s">
        <v>59</v>
      </c>
      <c r="Q5" t="s">
        <v>44</v>
      </c>
      <c r="R5" t="s">
        <v>40</v>
      </c>
      <c r="T5" t="s">
        <v>40</v>
      </c>
      <c r="U5" t="s">
        <v>44</v>
      </c>
      <c r="V5" t="s">
        <v>44</v>
      </c>
      <c r="W5" t="s">
        <v>45</v>
      </c>
      <c r="AA5" t="s">
        <v>44</v>
      </c>
      <c r="AK5" t="s">
        <v>172</v>
      </c>
    </row>
    <row r="6" spans="1:37" x14ac:dyDescent="0.25">
      <c r="A6">
        <v>1018243014</v>
      </c>
      <c r="B6" t="s">
        <v>173</v>
      </c>
      <c r="C6" s="1">
        <v>43231</v>
      </c>
      <c r="D6" t="str">
        <f ca="1">DATEDIF(C6,TODAY(),"Y") &amp; " año" &amp; IF(DATEDIF(C6,TODAY(),"Y")=1,"","s")&amp; " " &amp; DATEDIF(C6,TODAY(),"YM") &amp; " mes"&amp; IF(DATEDIF(C6,TODAY(),"YM")=1,"","es")</f>
        <v>7 años 5 meses</v>
      </c>
      <c r="E6" t="s">
        <v>62</v>
      </c>
      <c r="F6" t="s">
        <v>53</v>
      </c>
      <c r="G6" t="s">
        <v>54</v>
      </c>
      <c r="H6" t="s">
        <v>49</v>
      </c>
      <c r="I6" s="2">
        <v>45820</v>
      </c>
      <c r="J6" s="2">
        <f ca="1">IFERROR(IF(DATEDIF(C6,TODAY(),"Y")&gt;=1,DATE(YEAR(I6),MONTH(I6)+6,DAY(I6)),DATE(YEAR(I6),MONTH(I6)+3,DAY(I6))),"NO")</f>
        <v>46003</v>
      </c>
      <c r="K6" t="s">
        <v>42</v>
      </c>
      <c r="L6" t="s">
        <v>43</v>
      </c>
      <c r="M6" t="s">
        <v>44</v>
      </c>
      <c r="N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44</v>
      </c>
      <c r="V6" t="s">
        <v>44</v>
      </c>
      <c r="W6" t="s">
        <v>45</v>
      </c>
      <c r="AK6" t="s">
        <v>174</v>
      </c>
    </row>
    <row r="7" spans="1:37" x14ac:dyDescent="0.25">
      <c r="A7">
        <v>1017662515</v>
      </c>
      <c r="B7" t="s">
        <v>175</v>
      </c>
      <c r="C7" s="1">
        <v>45460</v>
      </c>
      <c r="D7" t="str">
        <f ca="1">DATEDIF(C7,TODAY(),"Y") &amp; " año" &amp; IF(DATEDIF(C7,TODAY(),"Y")=1,"","s")&amp; " " &amp; DATEDIF(C7,TODAY(),"YM") &amp; " mes"&amp; IF(DATEDIF(C7,TODAY(),"YM")=1,"","es")</f>
        <v>1 año 4 meses</v>
      </c>
      <c r="E7" t="s">
        <v>65</v>
      </c>
      <c r="F7" t="s">
        <v>53</v>
      </c>
      <c r="G7" t="s">
        <v>40</v>
      </c>
      <c r="H7" t="s">
        <v>49</v>
      </c>
      <c r="I7" s="2">
        <v>45758</v>
      </c>
      <c r="J7" s="2">
        <f ca="1">IFERROR(IF(DATEDIF(C7,TODAY(),"Y")&gt;=1,DATE(YEAR(I7),MONTH(I7)+6,DAY(I7)),DATE(YEAR(I7),MONTH(I7)+3,DAY(I7))),"NO")</f>
        <v>45941</v>
      </c>
      <c r="K7" t="s">
        <v>42</v>
      </c>
      <c r="L7" t="s">
        <v>43</v>
      </c>
      <c r="M7" t="s">
        <v>66</v>
      </c>
      <c r="N7" s="2">
        <v>45776</v>
      </c>
      <c r="O7" s="2">
        <f t="shared" ref="O7:O15" si="0">IFERROR(DATE(YEAR(N7)+1,MONTH(N7),DAY(N7)),"")</f>
        <v>46141</v>
      </c>
      <c r="P7" s="2">
        <v>45776</v>
      </c>
      <c r="Q7" s="2">
        <f t="shared" ref="Q7:Q15" si="1">IFERROR(DATE(YEAR(P7),MONTH(P7)+6,DAY(P7)),"")</f>
        <v>45959</v>
      </c>
      <c r="R7" s="2">
        <v>45916</v>
      </c>
      <c r="S7" s="2">
        <f t="shared" ref="S7:S14" si="2">IFERROR(DATE(YEAR(R7),MONTH(R7)+6,DAY(R7)),"")</f>
        <v>46097</v>
      </c>
      <c r="T7" t="s">
        <v>40</v>
      </c>
      <c r="U7" t="s">
        <v>45</v>
      </c>
      <c r="V7" t="s">
        <v>44</v>
      </c>
      <c r="W7" t="s">
        <v>45</v>
      </c>
      <c r="X7" t="s">
        <v>45</v>
      </c>
      <c r="Y7" t="s">
        <v>40</v>
      </c>
      <c r="AA7" t="s">
        <v>44</v>
      </c>
      <c r="AK7" t="s">
        <v>176</v>
      </c>
    </row>
    <row r="8" spans="1:37" x14ac:dyDescent="0.25">
      <c r="A8">
        <v>1017082016</v>
      </c>
      <c r="B8" t="s">
        <v>177</v>
      </c>
      <c r="C8" s="1">
        <v>43008</v>
      </c>
      <c r="D8" t="str">
        <f ca="1">DATEDIF(C8,TODAY(),"Y") &amp; " año" &amp; IF(DATEDIF(C8,TODAY(),"Y")=1,"","s")&amp; " " &amp; DATEDIF(C8,TODAY(),"YM") &amp; " mes"&amp; IF(DATEDIF(C8,TODAY(),"YM")=1,"","es")</f>
        <v>8 años 1 mes</v>
      </c>
      <c r="E8" t="s">
        <v>69</v>
      </c>
      <c r="F8" t="s">
        <v>39</v>
      </c>
      <c r="G8" t="s">
        <v>40</v>
      </c>
      <c r="H8" t="s">
        <v>49</v>
      </c>
      <c r="I8" s="2">
        <v>45860</v>
      </c>
      <c r="J8" s="2">
        <f ca="1">IFERROR(IF(DATEDIF(C8,TODAY(),"Y")&gt;=1,DATE(YEAR(I8),MONTH(I8)+6,DAY(I8)),DATE(YEAR(I8),MONTH(I8)+3,DAY(I8))),"NO")</f>
        <v>46044</v>
      </c>
      <c r="K8" t="s">
        <v>42</v>
      </c>
      <c r="L8" t="s">
        <v>43</v>
      </c>
      <c r="M8" t="s">
        <v>44</v>
      </c>
      <c r="N8" s="2">
        <v>45635</v>
      </c>
      <c r="O8" s="2">
        <f t="shared" si="0"/>
        <v>46000</v>
      </c>
      <c r="P8" s="2">
        <v>45806</v>
      </c>
      <c r="Q8" s="2">
        <f t="shared" si="1"/>
        <v>45990</v>
      </c>
      <c r="R8" s="2">
        <v>45860</v>
      </c>
      <c r="S8" s="2">
        <f t="shared" si="2"/>
        <v>46044</v>
      </c>
      <c r="T8" s="2">
        <v>45860</v>
      </c>
      <c r="U8" t="s">
        <v>44</v>
      </c>
      <c r="V8" t="s">
        <v>44</v>
      </c>
      <c r="W8" t="s">
        <v>40</v>
      </c>
      <c r="X8" t="s">
        <v>40</v>
      </c>
      <c r="AA8" t="s">
        <v>44</v>
      </c>
      <c r="AK8" t="s">
        <v>178</v>
      </c>
    </row>
    <row r="9" spans="1:37" x14ac:dyDescent="0.25">
      <c r="A9">
        <v>1016501517</v>
      </c>
      <c r="B9" t="s">
        <v>179</v>
      </c>
      <c r="C9" s="1">
        <v>43870</v>
      </c>
      <c r="D9" t="str">
        <f ca="1">DATEDIF(C9,TODAY(),"Y") &amp; " año" &amp; IF(DATEDIF(C9,TODAY(),"Y")=1,"","s")&amp; " " &amp; DATEDIF(C9,TODAY(),"YM") &amp; " mes"&amp; IF(DATEDIF(C9,TODAY(),"YM")=1,"","es")</f>
        <v>5 años 8 meses</v>
      </c>
      <c r="E9" t="s">
        <v>72</v>
      </c>
      <c r="F9" t="s">
        <v>53</v>
      </c>
      <c r="G9" t="s">
        <v>40</v>
      </c>
      <c r="H9" t="s">
        <v>49</v>
      </c>
      <c r="I9" s="2">
        <v>45860</v>
      </c>
      <c r="J9" s="2">
        <f ca="1">IFERROR(IF(DATEDIF(C9,TODAY(),"Y")&gt;=1,DATE(YEAR(I9),MONTH(I9)+6,DAY(I9)),DATE(YEAR(I9),MONTH(I9)+3,DAY(I9))),"NO")</f>
        <v>46044</v>
      </c>
      <c r="K9" t="s">
        <v>42</v>
      </c>
      <c r="L9" t="s">
        <v>43</v>
      </c>
      <c r="M9" t="s">
        <v>66</v>
      </c>
      <c r="N9" s="2">
        <v>45932</v>
      </c>
      <c r="O9" s="2">
        <f t="shared" si="0"/>
        <v>46297</v>
      </c>
      <c r="P9" s="2">
        <v>45932</v>
      </c>
      <c r="Q9" s="2">
        <f t="shared" si="1"/>
        <v>46114</v>
      </c>
      <c r="R9" s="2">
        <v>45860</v>
      </c>
      <c r="S9" s="2">
        <f t="shared" si="2"/>
        <v>46044</v>
      </c>
      <c r="T9" s="2">
        <v>45860</v>
      </c>
      <c r="U9" t="s">
        <v>44</v>
      </c>
      <c r="V9" t="s">
        <v>44</v>
      </c>
      <c r="W9" t="s">
        <v>45</v>
      </c>
      <c r="X9" t="s">
        <v>45</v>
      </c>
      <c r="AA9" t="s">
        <v>44</v>
      </c>
      <c r="AK9" t="s">
        <v>180</v>
      </c>
    </row>
    <row r="10" spans="1:37" x14ac:dyDescent="0.25">
      <c r="A10">
        <v>1015921018</v>
      </c>
      <c r="B10" t="s">
        <v>181</v>
      </c>
      <c r="C10" s="1">
        <v>44281</v>
      </c>
      <c r="D10" t="str">
        <f ca="1">DATEDIF(C10,TODAY(),"Y") &amp; " año" &amp; IF(DATEDIF(C10,TODAY(),"Y")=1,"","s")&amp; " " &amp; DATEDIF(C10,TODAY(),"YM") &amp; " mes"&amp; IF(DATEDIF(C10,TODAY(),"YM")=1,"","es")</f>
        <v>4 años 7 meses</v>
      </c>
      <c r="E10" t="s">
        <v>75</v>
      </c>
      <c r="F10" t="s">
        <v>53</v>
      </c>
      <c r="G10" t="s">
        <v>40</v>
      </c>
      <c r="H10" t="s">
        <v>49</v>
      </c>
      <c r="I10" s="2">
        <v>45797</v>
      </c>
      <c r="J10" s="2">
        <f ca="1">IFERROR(IF(DATEDIF(C10,TODAY(),"Y")&gt;=1,DATE(YEAR(I10),MONTH(I10)+6,DAY(I10)),DATE(YEAR(I10),MONTH(I10)+3,DAY(I10))),"NO")</f>
        <v>45981</v>
      </c>
      <c r="K10" t="s">
        <v>42</v>
      </c>
      <c r="L10" t="s">
        <v>43</v>
      </c>
      <c r="M10" t="s">
        <v>44</v>
      </c>
      <c r="N10" s="2">
        <v>45930</v>
      </c>
      <c r="O10" s="2">
        <f t="shared" si="0"/>
        <v>46295</v>
      </c>
      <c r="P10" s="2">
        <v>45930</v>
      </c>
      <c r="Q10" s="2">
        <f t="shared" si="1"/>
        <v>46111</v>
      </c>
      <c r="R10" s="2">
        <v>45889</v>
      </c>
      <c r="S10" s="2">
        <f t="shared" si="2"/>
        <v>46073</v>
      </c>
      <c r="T10" s="2">
        <v>45685</v>
      </c>
      <c r="U10" t="s">
        <v>44</v>
      </c>
      <c r="V10" t="s">
        <v>44</v>
      </c>
      <c r="W10" t="s">
        <v>45</v>
      </c>
      <c r="X10" t="s">
        <v>40</v>
      </c>
      <c r="AA10" t="s">
        <v>44</v>
      </c>
      <c r="AK10" t="s">
        <v>182</v>
      </c>
    </row>
    <row r="11" spans="1:37" x14ac:dyDescent="0.25">
      <c r="A11">
        <v>1015340519</v>
      </c>
      <c r="B11" t="s">
        <v>183</v>
      </c>
      <c r="C11" s="1">
        <v>44148</v>
      </c>
      <c r="D11" t="str">
        <f ca="1">DATEDIF(C11,TODAY(),"Y") &amp; " año" &amp; IF(DATEDIF(C11,TODAY(),"Y")=1,"","s")&amp; " " &amp; DATEDIF(C11,TODAY(),"YM") &amp; " mes"&amp; IF(DATEDIF(C11,TODAY(),"YM")=1,"","es")</f>
        <v>4 años 11 meses</v>
      </c>
      <c r="E11" t="s">
        <v>78</v>
      </c>
      <c r="F11" t="s">
        <v>79</v>
      </c>
      <c r="G11" t="s">
        <v>54</v>
      </c>
      <c r="H11" t="s">
        <v>41</v>
      </c>
      <c r="I11" s="2">
        <v>45923</v>
      </c>
      <c r="J11" s="2">
        <f ca="1">IFERROR(IF(DATEDIF(C11,TODAY(),"Y")&gt;=1,DATE(YEAR(I11),MONTH(I11)+6,DAY(I11)),DATE(YEAR(I11),MONTH(I11)+3,DAY(I11))),"NO")</f>
        <v>46104</v>
      </c>
      <c r="K11" t="s">
        <v>42</v>
      </c>
      <c r="L11" t="s">
        <v>43</v>
      </c>
      <c r="M11" t="s">
        <v>44</v>
      </c>
      <c r="N11" s="2">
        <v>45749</v>
      </c>
      <c r="O11" s="2">
        <f t="shared" si="0"/>
        <v>46114</v>
      </c>
      <c r="P11" s="2">
        <v>45749</v>
      </c>
      <c r="Q11" s="2">
        <f t="shared" si="1"/>
        <v>45932</v>
      </c>
      <c r="R11" s="2">
        <v>45923</v>
      </c>
      <c r="S11" s="2">
        <f t="shared" si="2"/>
        <v>46104</v>
      </c>
      <c r="T11" s="2">
        <v>45785</v>
      </c>
      <c r="U11" t="s">
        <v>45</v>
      </c>
      <c r="V11" t="s">
        <v>44</v>
      </c>
      <c r="W11" t="s">
        <v>45</v>
      </c>
      <c r="X11" t="s">
        <v>40</v>
      </c>
      <c r="AA11" t="s">
        <v>44</v>
      </c>
      <c r="AK11" t="s">
        <v>184</v>
      </c>
    </row>
    <row r="12" spans="1:37" x14ac:dyDescent="0.25">
      <c r="A12">
        <v>1014760020</v>
      </c>
      <c r="B12" t="s">
        <v>185</v>
      </c>
      <c r="C12" s="1">
        <v>45481</v>
      </c>
      <c r="D12" t="str">
        <f ca="1">DATEDIF(C12,TODAY(),"Y") &amp; " año" &amp; IF(DATEDIF(C12,TODAY(),"Y")=1,"","s")&amp; " " &amp; DATEDIF(C12,TODAY(),"YM") &amp; " mes"&amp; IF(DATEDIF(C12,TODAY(),"YM")=1,"","es")</f>
        <v>1 año 3 meses</v>
      </c>
      <c r="E12" t="s">
        <v>82</v>
      </c>
      <c r="F12" t="s">
        <v>53</v>
      </c>
      <c r="G12" t="s">
        <v>40</v>
      </c>
      <c r="H12" t="s">
        <v>41</v>
      </c>
      <c r="I12" s="2">
        <v>45902</v>
      </c>
      <c r="J12" s="2">
        <f ca="1">IFERROR(IF(DATEDIF(C12,TODAY(),"Y")&gt;=1,DATE(YEAR(I12),MONTH(I12)+6,DAY(I12)),DATE(YEAR(I12),MONTH(I12)+3,DAY(I12))),"NO")</f>
        <v>46083</v>
      </c>
      <c r="K12" t="s">
        <v>42</v>
      </c>
      <c r="L12" t="s">
        <v>43</v>
      </c>
      <c r="M12" t="s">
        <v>44</v>
      </c>
      <c r="N12" s="2">
        <v>45862</v>
      </c>
      <c r="O12" s="2">
        <f t="shared" si="0"/>
        <v>46227</v>
      </c>
      <c r="P12" s="2">
        <v>45862</v>
      </c>
      <c r="Q12" s="2">
        <f t="shared" si="1"/>
        <v>46046</v>
      </c>
      <c r="R12" s="2">
        <v>45902</v>
      </c>
      <c r="S12" s="2">
        <f t="shared" si="2"/>
        <v>46083</v>
      </c>
      <c r="T12" t="s">
        <v>40</v>
      </c>
      <c r="U12" t="s">
        <v>44</v>
      </c>
      <c r="V12" t="s">
        <v>44</v>
      </c>
      <c r="W12" t="s">
        <v>45</v>
      </c>
      <c r="X12" t="s">
        <v>40</v>
      </c>
      <c r="AA12" t="s">
        <v>44</v>
      </c>
      <c r="AK12" t="s">
        <v>186</v>
      </c>
    </row>
    <row r="13" spans="1:37" x14ac:dyDescent="0.25">
      <c r="A13">
        <v>1014179521</v>
      </c>
      <c r="B13" t="s">
        <v>187</v>
      </c>
      <c r="C13" s="1">
        <v>43626</v>
      </c>
      <c r="D13" t="str">
        <f ca="1">DATEDIF(C13,TODAY(),"Y") &amp; " año" &amp; IF(DATEDIF(C13,TODAY(),"Y")=1,"","s")&amp; " " &amp; DATEDIF(C13,TODAY(),"YM") &amp; " mes"&amp; IF(DATEDIF(C13,TODAY(),"YM")=1,"","es")</f>
        <v>6 años 4 meses</v>
      </c>
      <c r="E13" t="s">
        <v>85</v>
      </c>
      <c r="F13" t="s">
        <v>39</v>
      </c>
      <c r="G13" t="s">
        <v>40</v>
      </c>
      <c r="H13" t="s">
        <v>49</v>
      </c>
      <c r="I13" s="2">
        <v>45827</v>
      </c>
      <c r="J13" s="2">
        <f ca="1">IFERROR(IF(DATEDIF(C13,TODAY(),"Y")&gt;=1,DATE(YEAR(I13),MONTH(I13)+6,DAY(I13)),DATE(YEAR(I13),MONTH(I13)+3,DAY(I13))),"NO")</f>
        <v>46010</v>
      </c>
      <c r="K13" t="s">
        <v>42</v>
      </c>
      <c r="L13" t="s">
        <v>43</v>
      </c>
      <c r="M13" t="s">
        <v>50</v>
      </c>
      <c r="N13" s="2">
        <v>45646</v>
      </c>
      <c r="O13" s="2">
        <f t="shared" si="0"/>
        <v>46011</v>
      </c>
      <c r="P13" s="2">
        <v>45805</v>
      </c>
      <c r="Q13" s="2">
        <f t="shared" si="1"/>
        <v>45989</v>
      </c>
      <c r="R13" s="2">
        <v>45827</v>
      </c>
      <c r="S13" s="2">
        <f t="shared" si="2"/>
        <v>46010</v>
      </c>
      <c r="T13" s="2">
        <v>45827</v>
      </c>
      <c r="U13" t="s">
        <v>44</v>
      </c>
      <c r="V13" t="s">
        <v>44</v>
      </c>
      <c r="W13" t="s">
        <v>45</v>
      </c>
      <c r="X13" t="s">
        <v>45</v>
      </c>
      <c r="AA13" t="s">
        <v>44</v>
      </c>
      <c r="AK13" t="s">
        <v>188</v>
      </c>
    </row>
    <row r="14" spans="1:37" x14ac:dyDescent="0.25">
      <c r="A14">
        <v>1013599022</v>
      </c>
      <c r="B14" t="s">
        <v>189</v>
      </c>
      <c r="C14" s="1">
        <v>44097</v>
      </c>
      <c r="D14" t="str">
        <f ca="1">DATEDIF(C14,TODAY(),"Y") &amp; " año" &amp; IF(DATEDIF(C14,TODAY(),"Y")=1,"","s")&amp; " " &amp; DATEDIF(C14,TODAY(),"YM") &amp; " mes"&amp; IF(DATEDIF(C14,TODAY(),"YM")=1,"","es")</f>
        <v>5 años 1 mes</v>
      </c>
      <c r="E14" t="s">
        <v>88</v>
      </c>
      <c r="F14" t="s">
        <v>89</v>
      </c>
      <c r="G14" t="s">
        <v>40</v>
      </c>
      <c r="H14" t="s">
        <v>49</v>
      </c>
      <c r="I14" s="2">
        <v>45932</v>
      </c>
      <c r="J14" s="2">
        <f ca="1">IFERROR(IF(DATEDIF(C14,TODAY(),"Y")&gt;=1,DATE(YEAR(I14),MONTH(I14)+6,DAY(I14)),DATE(YEAR(I14),MONTH(I14)+3,DAY(I14))),"NO")</f>
        <v>46114</v>
      </c>
      <c r="K14" t="s">
        <v>42</v>
      </c>
      <c r="L14" t="s">
        <v>43</v>
      </c>
      <c r="M14" t="s">
        <v>44</v>
      </c>
      <c r="N14" s="2">
        <v>45878</v>
      </c>
      <c r="O14" s="2">
        <f t="shared" si="0"/>
        <v>46243</v>
      </c>
      <c r="P14" s="2">
        <v>45878</v>
      </c>
      <c r="Q14" s="2">
        <f t="shared" si="1"/>
        <v>46062</v>
      </c>
      <c r="R14" s="2">
        <v>45932</v>
      </c>
      <c r="S14" s="2">
        <f t="shared" si="2"/>
        <v>46114</v>
      </c>
      <c r="T14" s="2">
        <v>45586</v>
      </c>
      <c r="U14" t="s">
        <v>44</v>
      </c>
      <c r="V14" t="s">
        <v>44</v>
      </c>
      <c r="W14" t="s">
        <v>45</v>
      </c>
      <c r="X14" t="s">
        <v>40</v>
      </c>
      <c r="AA14" t="s">
        <v>44</v>
      </c>
      <c r="AK14" t="s">
        <v>190</v>
      </c>
    </row>
    <row r="15" spans="1:37" x14ac:dyDescent="0.25">
      <c r="A15">
        <v>1013018523</v>
      </c>
      <c r="B15" t="s">
        <v>191</v>
      </c>
      <c r="C15" s="1">
        <v>43780</v>
      </c>
      <c r="D15" t="str">
        <f ca="1">DATEDIF(C15,TODAY(),"Y") &amp; " año" &amp; IF(DATEDIF(C15,TODAY(),"Y")=1,"","s")&amp; " " &amp; DATEDIF(C15,TODAY(),"YM") &amp; " mes"&amp; IF(DATEDIF(C15,TODAY(),"YM")=1,"","es")</f>
        <v>5 años 11 meses</v>
      </c>
      <c r="E15" t="s">
        <v>92</v>
      </c>
      <c r="F15" t="s">
        <v>53</v>
      </c>
      <c r="G15" t="s">
        <v>40</v>
      </c>
      <c r="H15" t="s">
        <v>49</v>
      </c>
      <c r="I15" s="2">
        <v>45861</v>
      </c>
      <c r="J15" s="2">
        <f ca="1">IFERROR(IF(DATEDIF(C15,TODAY(),"Y")&gt;=1,DATE(YEAR(I15),MONTH(I15)+6,DAY(I15)),DATE(YEAR(I15),MONTH(I15)+3,DAY(I15))),"NO")</f>
        <v>46045</v>
      </c>
      <c r="K15" t="s">
        <v>42</v>
      </c>
      <c r="L15" t="s">
        <v>43</v>
      </c>
      <c r="M15" t="s">
        <v>44</v>
      </c>
      <c r="N15" s="2">
        <v>45937</v>
      </c>
      <c r="O15" s="2">
        <f t="shared" si="0"/>
        <v>46302</v>
      </c>
      <c r="P15" s="2">
        <v>45937</v>
      </c>
      <c r="Q15" s="2">
        <f t="shared" si="1"/>
        <v>46119</v>
      </c>
      <c r="R15" t="s">
        <v>40</v>
      </c>
      <c r="S15" t="s">
        <v>44</v>
      </c>
      <c r="T15" t="s">
        <v>40</v>
      </c>
      <c r="U15" t="s">
        <v>45</v>
      </c>
      <c r="V15" t="s">
        <v>44</v>
      </c>
      <c r="W15" t="s">
        <v>45</v>
      </c>
      <c r="X15" t="s">
        <v>40</v>
      </c>
      <c r="AA15" t="s">
        <v>44</v>
      </c>
      <c r="AK15" t="s">
        <v>192</v>
      </c>
    </row>
    <row r="16" spans="1:37" x14ac:dyDescent="0.25">
      <c r="A16">
        <v>1012438024</v>
      </c>
      <c r="B16" t="s">
        <v>193</v>
      </c>
      <c r="C16" s="1">
        <v>44397</v>
      </c>
      <c r="D16" t="str">
        <f ca="1">DATEDIF(C16,TODAY(),"Y") &amp; " año" &amp; IF(DATEDIF(C16,TODAY(),"Y")=1,"","s")&amp; " " &amp; DATEDIF(C16,TODAY(),"YM") &amp; " mes"&amp; IF(DATEDIF(C16,TODAY(),"YM")=1,"","es")</f>
        <v>4 años 3 meses</v>
      </c>
      <c r="E16" t="s">
        <v>40</v>
      </c>
      <c r="F16" t="s">
        <v>79</v>
      </c>
      <c r="G16" t="s">
        <v>54</v>
      </c>
      <c r="H16" t="s">
        <v>49</v>
      </c>
      <c r="I16" s="2">
        <v>45871</v>
      </c>
      <c r="J16" s="2">
        <f ca="1">IFERROR(IF(DATEDIF(C16,TODAY(),"Y")&gt;=1,DATE(YEAR(I16),MONTH(I16)+6,DAY(I16)),DATE(YEAR(I16),MONTH(I16)+3,DAY(I16))),"NO")</f>
        <v>46055</v>
      </c>
      <c r="K16" t="s">
        <v>42</v>
      </c>
      <c r="L16" t="s">
        <v>43</v>
      </c>
      <c r="M16" t="s">
        <v>44</v>
      </c>
      <c r="N16" t="s">
        <v>40</v>
      </c>
      <c r="P16" t="s">
        <v>54</v>
      </c>
      <c r="R16" t="s">
        <v>40</v>
      </c>
      <c r="T16" t="s">
        <v>40</v>
      </c>
      <c r="U16" t="s">
        <v>44</v>
      </c>
      <c r="V16" t="s">
        <v>44</v>
      </c>
      <c r="W16" t="s">
        <v>45</v>
      </c>
      <c r="AK16" t="s">
        <v>194</v>
      </c>
    </row>
    <row r="17" spans="1:37" x14ac:dyDescent="0.25">
      <c r="A17">
        <v>1011857525</v>
      </c>
      <c r="B17" t="s">
        <v>195</v>
      </c>
      <c r="C17" s="1">
        <v>43839</v>
      </c>
      <c r="D17" t="str">
        <f ca="1">DATEDIF(C17,TODAY(),"Y") &amp; " año" &amp; IF(DATEDIF(C17,TODAY(),"Y")=1,"","s")&amp; " " &amp; DATEDIF(C17,TODAY(),"YM") &amp; " mes"&amp; IF(DATEDIF(C17,TODAY(),"YM")=1,"","es")</f>
        <v>5 años 9 meses</v>
      </c>
      <c r="E17" t="s">
        <v>97</v>
      </c>
      <c r="F17" t="s">
        <v>53</v>
      </c>
      <c r="G17" t="s">
        <v>40</v>
      </c>
      <c r="H17" t="s">
        <v>41</v>
      </c>
      <c r="I17" s="2">
        <v>45938</v>
      </c>
      <c r="J17" s="2">
        <f ca="1">IFERROR(IF(DATEDIF(C17,TODAY(),"Y")&gt;=1,DATE(YEAR(I17),MONTH(I17)+6,DAY(I17)),DATE(YEAR(I17),MONTH(I17)+3,DAY(I17))),"NO")</f>
        <v>46120</v>
      </c>
      <c r="K17" t="s">
        <v>42</v>
      </c>
      <c r="L17" t="s">
        <v>43</v>
      </c>
      <c r="M17" t="s">
        <v>44</v>
      </c>
      <c r="N17" s="2">
        <v>45896</v>
      </c>
      <c r="O17" s="2">
        <f t="shared" ref="O17:O29" si="3">IFERROR(DATE(YEAR(N17)+1,MONTH(N17),DAY(N17)),"")</f>
        <v>46261</v>
      </c>
      <c r="P17" t="s">
        <v>59</v>
      </c>
      <c r="Q17" t="s">
        <v>44</v>
      </c>
      <c r="R17" t="s">
        <v>98</v>
      </c>
      <c r="S17" t="str">
        <f>IFERROR(DATE(YEAR(R17),MONTH(R17)+6,DAY(R17)),"")</f>
        <v/>
      </c>
      <c r="T17" t="s">
        <v>40</v>
      </c>
      <c r="U17" t="s">
        <v>45</v>
      </c>
      <c r="V17" t="s">
        <v>44</v>
      </c>
      <c r="W17" t="s">
        <v>45</v>
      </c>
      <c r="AA17" t="s">
        <v>44</v>
      </c>
      <c r="AK17" t="s">
        <v>196</v>
      </c>
    </row>
    <row r="18" spans="1:37" x14ac:dyDescent="0.25">
      <c r="A18">
        <v>1011277026</v>
      </c>
      <c r="B18" t="s">
        <v>197</v>
      </c>
      <c r="C18" s="1">
        <v>44452</v>
      </c>
      <c r="D18" t="str">
        <f ca="1">DATEDIF(C18,TODAY(),"Y") &amp; " año" &amp; IF(DATEDIF(C18,TODAY(),"Y")=1,"","s")&amp; " " &amp; DATEDIF(C18,TODAY(),"YM") &amp; " mes"&amp; IF(DATEDIF(C18,TODAY(),"YM")=1,"","es")</f>
        <v>4 años 1 mes</v>
      </c>
      <c r="E18" t="s">
        <v>101</v>
      </c>
      <c r="F18" t="s">
        <v>53</v>
      </c>
      <c r="G18" t="s">
        <v>40</v>
      </c>
      <c r="H18" t="s">
        <v>41</v>
      </c>
      <c r="I18" s="2">
        <v>45916</v>
      </c>
      <c r="J18" s="2">
        <f ca="1">IFERROR(IF(DATEDIF(C18,TODAY(),"Y")&gt;=1,DATE(YEAR(I18),MONTH(I18)+6,DAY(I18)),DATE(YEAR(I18),MONTH(I18)+3,DAY(I18))),"NO")</f>
        <v>46097</v>
      </c>
      <c r="K18" t="s">
        <v>42</v>
      </c>
      <c r="L18" t="s">
        <v>43</v>
      </c>
      <c r="M18" t="s">
        <v>44</v>
      </c>
      <c r="N18" t="s">
        <v>40</v>
      </c>
      <c r="O18" t="str">
        <f t="shared" si="3"/>
        <v/>
      </c>
      <c r="P18" t="s">
        <v>59</v>
      </c>
      <c r="Q18" t="str">
        <f t="shared" ref="Q18:Q23" si="4">IFERROR(DATE(YEAR(P18),MONTH(P18)+6,DAY(P18)),"")</f>
        <v/>
      </c>
      <c r="R18" t="s">
        <v>98</v>
      </c>
      <c r="S18" t="str">
        <f>IFERROR(DATE(YEAR(R18),MONTH(R18)+6,DAY(R18)),"")</f>
        <v/>
      </c>
      <c r="T18" t="s">
        <v>40</v>
      </c>
      <c r="U18" t="s">
        <v>40</v>
      </c>
      <c r="V18" t="s">
        <v>44</v>
      </c>
      <c r="W18" t="s">
        <v>45</v>
      </c>
      <c r="AA18" t="s">
        <v>44</v>
      </c>
      <c r="AK18" t="s">
        <v>198</v>
      </c>
    </row>
    <row r="19" spans="1:37" x14ac:dyDescent="0.25">
      <c r="A19">
        <v>1010696527</v>
      </c>
      <c r="B19" t="s">
        <v>199</v>
      </c>
      <c r="C19" s="1">
        <v>45794</v>
      </c>
      <c r="D19" t="str">
        <f ca="1">DATEDIF(C19,TODAY(),"Y") &amp; " año" &amp; IF(DATEDIF(C19,TODAY(),"Y")=1,"","s")&amp; " " &amp; DATEDIF(C19,TODAY(),"YM") &amp; " mes"&amp; IF(DATEDIF(C19,TODAY(),"YM")=1,"","es")</f>
        <v>0 años 5 meses</v>
      </c>
      <c r="E19" t="s">
        <v>40</v>
      </c>
      <c r="F19" t="s">
        <v>79</v>
      </c>
      <c r="G19" t="s">
        <v>54</v>
      </c>
      <c r="H19" t="s">
        <v>41</v>
      </c>
      <c r="I19" s="2">
        <v>45869</v>
      </c>
      <c r="J19" s="2">
        <f ca="1">IFERROR(IF(DATEDIF(C19,TODAY(),"Y")&gt;=1,DATE(YEAR(I19),MONTH(I19)+6,DAY(I19)),DATE(YEAR(I19),MONTH(I19)+3,DAY(I19))),"NO")</f>
        <v>45961</v>
      </c>
      <c r="K19" t="s">
        <v>42</v>
      </c>
      <c r="L19" t="s">
        <v>43</v>
      </c>
      <c r="M19" t="s">
        <v>44</v>
      </c>
      <c r="N19" s="2">
        <v>45902</v>
      </c>
      <c r="O19" s="2">
        <f t="shared" si="3"/>
        <v>46267</v>
      </c>
      <c r="P19" s="2">
        <v>45902</v>
      </c>
      <c r="Q19" s="2">
        <f t="shared" si="4"/>
        <v>46083</v>
      </c>
      <c r="R19" t="s">
        <v>40</v>
      </c>
      <c r="T19" t="s">
        <v>40</v>
      </c>
      <c r="U19" t="s">
        <v>44</v>
      </c>
      <c r="V19" t="s">
        <v>44</v>
      </c>
      <c r="W19" s="2">
        <v>45923</v>
      </c>
      <c r="AA19" t="s">
        <v>44</v>
      </c>
      <c r="AK19" t="s">
        <v>200</v>
      </c>
    </row>
    <row r="20" spans="1:37" x14ac:dyDescent="0.25">
      <c r="A20">
        <v>1010116028</v>
      </c>
      <c r="B20" t="s">
        <v>201</v>
      </c>
      <c r="C20" s="1">
        <v>43661</v>
      </c>
      <c r="D20" t="str">
        <f ca="1">DATEDIF(C20,TODAY(),"Y") &amp; " año" &amp; IF(DATEDIF(C20,TODAY(),"Y")=1,"","s")&amp; " " &amp; DATEDIF(C20,TODAY(),"YM") &amp; " mes"&amp; IF(DATEDIF(C20,TODAY(),"YM")=1,"","es")</f>
        <v>6 años 3 meses</v>
      </c>
      <c r="E20" t="s">
        <v>106</v>
      </c>
      <c r="F20" t="s">
        <v>53</v>
      </c>
      <c r="G20" t="s">
        <v>107</v>
      </c>
      <c r="H20" t="s">
        <v>41</v>
      </c>
      <c r="I20" s="2">
        <v>45863</v>
      </c>
      <c r="J20" s="2">
        <f ca="1">IFERROR(IF(DATEDIF(C20,TODAY(),"Y")&gt;=1,DATE(YEAR(I20),MONTH(I20)+6,DAY(I20)),DATE(YEAR(I20),MONTH(I20)+3,DAY(I20))),"NO")</f>
        <v>46047</v>
      </c>
      <c r="K20" t="s">
        <v>42</v>
      </c>
      <c r="L20" t="s">
        <v>43</v>
      </c>
      <c r="M20" t="s">
        <v>44</v>
      </c>
      <c r="N20" t="s">
        <v>108</v>
      </c>
      <c r="O20" t="str">
        <f t="shared" si="3"/>
        <v/>
      </c>
      <c r="P20" t="s">
        <v>59</v>
      </c>
      <c r="Q20" t="str">
        <f t="shared" si="4"/>
        <v/>
      </c>
      <c r="R20" t="s">
        <v>98</v>
      </c>
      <c r="S20" t="str">
        <f>IFERROR(DATE(YEAR(R20),MONTH(R20)+6,DAY(R20)),"")</f>
        <v/>
      </c>
      <c r="T20" t="s">
        <v>40</v>
      </c>
      <c r="U20" t="s">
        <v>45</v>
      </c>
      <c r="V20" t="s">
        <v>44</v>
      </c>
      <c r="W20" t="s">
        <v>40</v>
      </c>
      <c r="AA20" t="s">
        <v>44</v>
      </c>
      <c r="AK20" t="s">
        <v>202</v>
      </c>
    </row>
    <row r="21" spans="1:37" x14ac:dyDescent="0.25">
      <c r="A21">
        <v>1009535529</v>
      </c>
      <c r="B21" t="s">
        <v>203</v>
      </c>
      <c r="C21" s="1">
        <v>43288</v>
      </c>
      <c r="D21" t="str">
        <f ca="1">DATEDIF(C21,TODAY(),"Y") &amp; " año" &amp; IF(DATEDIF(C21,TODAY(),"Y")=1,"","s")&amp; " " &amp; DATEDIF(C21,TODAY(),"YM") &amp; " mes"&amp; IF(DATEDIF(C21,TODAY(),"YM")=1,"","es")</f>
        <v>7 años 4 meses</v>
      </c>
      <c r="E21" t="s">
        <v>111</v>
      </c>
      <c r="F21" t="s">
        <v>53</v>
      </c>
      <c r="G21" t="s">
        <v>54</v>
      </c>
      <c r="H21" t="s">
        <v>41</v>
      </c>
      <c r="I21" s="2">
        <v>45805</v>
      </c>
      <c r="J21" s="2">
        <f ca="1">IFERROR(IF(DATEDIF(C21,TODAY(),"Y")&gt;=1,DATE(YEAR(I21),MONTH(I21)+6,DAY(I21)),DATE(YEAR(I21),MONTH(I21)+3,DAY(I21))),"NO")</f>
        <v>45989</v>
      </c>
      <c r="K21" t="s">
        <v>42</v>
      </c>
      <c r="L21" t="s">
        <v>43</v>
      </c>
      <c r="M21" t="s">
        <v>44</v>
      </c>
      <c r="N21" s="2">
        <v>45779</v>
      </c>
      <c r="O21" s="2">
        <f t="shared" si="3"/>
        <v>46144</v>
      </c>
      <c r="P21" s="2">
        <v>45779</v>
      </c>
      <c r="Q21" s="2">
        <f t="shared" si="4"/>
        <v>45963</v>
      </c>
      <c r="R21" s="2">
        <v>45883</v>
      </c>
      <c r="S21" s="2">
        <f>IFERROR(DATE(YEAR(R21),MONTH(R21)+6,DAY(R21)),"")</f>
        <v>46067</v>
      </c>
      <c r="T21" t="s">
        <v>40</v>
      </c>
      <c r="U21" t="s">
        <v>44</v>
      </c>
      <c r="V21" t="s">
        <v>44</v>
      </c>
      <c r="W21" t="s">
        <v>45</v>
      </c>
      <c r="AA21" t="s">
        <v>44</v>
      </c>
      <c r="AK21" t="s">
        <v>204</v>
      </c>
    </row>
    <row r="22" spans="1:37" x14ac:dyDescent="0.25">
      <c r="A22">
        <v>1008955030</v>
      </c>
      <c r="B22" t="s">
        <v>205</v>
      </c>
      <c r="C22" s="1">
        <v>45367</v>
      </c>
      <c r="D22" t="str">
        <f ca="1">DATEDIF(C22,TODAY(),"Y") &amp; " año" &amp; IF(DATEDIF(C22,TODAY(),"Y")=1,"","s")&amp; " " &amp; DATEDIF(C22,TODAY(),"YM") &amp; " mes"&amp; IF(DATEDIF(C22,TODAY(),"YM")=1,"","es")</f>
        <v>1 año 7 meses</v>
      </c>
      <c r="E22" t="s">
        <v>114</v>
      </c>
      <c r="F22" t="s">
        <v>53</v>
      </c>
      <c r="G22" t="s">
        <v>40</v>
      </c>
      <c r="H22" t="s">
        <v>49</v>
      </c>
      <c r="I22" s="2">
        <v>45924</v>
      </c>
      <c r="J22" s="2">
        <f ca="1">IFERROR(IF(DATEDIF(C22,TODAY(),"Y")&gt;=1,DATE(YEAR(I22),MONTH(I22)+6,DAY(I22)),DATE(YEAR(I22),MONTH(I22)+3,DAY(I22))),"NO")</f>
        <v>46105</v>
      </c>
      <c r="K22" t="s">
        <v>42</v>
      </c>
      <c r="L22" t="s">
        <v>43</v>
      </c>
      <c r="M22" t="s">
        <v>50</v>
      </c>
      <c r="N22" s="2">
        <v>45775</v>
      </c>
      <c r="O22" s="2">
        <f t="shared" si="3"/>
        <v>46140</v>
      </c>
      <c r="P22" s="2">
        <v>45775</v>
      </c>
      <c r="Q22" s="2">
        <f t="shared" si="4"/>
        <v>45958</v>
      </c>
      <c r="R22" s="2">
        <v>45826</v>
      </c>
      <c r="S22" s="2">
        <f>IFERROR(DATE(YEAR(R22),MONTH(R22)+6,DAY(R22)),"")</f>
        <v>46009</v>
      </c>
      <c r="T22" s="2">
        <v>45803</v>
      </c>
      <c r="U22" t="s">
        <v>44</v>
      </c>
      <c r="V22" t="s">
        <v>44</v>
      </c>
      <c r="W22" t="s">
        <v>45</v>
      </c>
      <c r="X22" t="s">
        <v>45</v>
      </c>
      <c r="AA22" t="s">
        <v>44</v>
      </c>
      <c r="AK22" t="s">
        <v>206</v>
      </c>
    </row>
    <row r="23" spans="1:37" x14ac:dyDescent="0.25">
      <c r="A23">
        <v>1008374531</v>
      </c>
      <c r="B23" t="s">
        <v>207</v>
      </c>
      <c r="C23" s="1">
        <v>45751</v>
      </c>
      <c r="D23" t="str">
        <f ca="1">DATEDIF(C23,TODAY(),"Y") &amp; " año" &amp; IF(DATEDIF(C23,TODAY(),"Y")=1,"","s")&amp; " " &amp; DATEDIF(C23,TODAY(),"YM") &amp; " mes"&amp; IF(DATEDIF(C23,TODAY(),"YM")=1,"","es")</f>
        <v>0 años 7 meses</v>
      </c>
      <c r="E23" t="s">
        <v>117</v>
      </c>
      <c r="F23" t="s">
        <v>53</v>
      </c>
      <c r="G23" t="s">
        <v>40</v>
      </c>
      <c r="H23" t="s">
        <v>49</v>
      </c>
      <c r="I23" s="2">
        <v>45793</v>
      </c>
      <c r="J23" s="2">
        <f ca="1">IFERROR(IF(DATEDIF(C23,TODAY(),"Y")&gt;=1,DATE(YEAR(I23),MONTH(I23)+6,DAY(I23)),DATE(YEAR(I23),MONTH(I23)+3,DAY(I23))),"NO")</f>
        <v>45885</v>
      </c>
      <c r="K23" t="s">
        <v>42</v>
      </c>
      <c r="L23" t="s">
        <v>43</v>
      </c>
      <c r="M23" t="s">
        <v>44</v>
      </c>
      <c r="N23" s="2">
        <v>45878</v>
      </c>
      <c r="O23" s="2">
        <f t="shared" si="3"/>
        <v>46243</v>
      </c>
      <c r="P23" s="2">
        <v>45878</v>
      </c>
      <c r="Q23" s="2">
        <f t="shared" si="4"/>
        <v>46062</v>
      </c>
      <c r="R23" s="2">
        <v>45728</v>
      </c>
      <c r="S23" s="2">
        <f>IFERROR(DATE(YEAR(R23),MONTH(R23)+6,DAY(R23)),"")</f>
        <v>45912</v>
      </c>
      <c r="T23" s="2">
        <v>45793</v>
      </c>
      <c r="U23" t="s">
        <v>44</v>
      </c>
      <c r="V23" t="s">
        <v>44</v>
      </c>
      <c r="W23" t="s">
        <v>45</v>
      </c>
      <c r="X23" t="s">
        <v>45</v>
      </c>
      <c r="AA23" t="s">
        <v>44</v>
      </c>
      <c r="AK23" t="s">
        <v>208</v>
      </c>
    </row>
    <row r="24" spans="1:37" x14ac:dyDescent="0.25">
      <c r="A24">
        <v>1007794032</v>
      </c>
      <c r="B24" t="s">
        <v>209</v>
      </c>
      <c r="C24" s="1">
        <v>44055</v>
      </c>
      <c r="D24" t="str">
        <f ca="1">DATEDIF(C24,TODAY(),"Y") &amp; " año" &amp; IF(DATEDIF(C24,TODAY(),"Y")=1,"","s")&amp; " " &amp; DATEDIF(C24,TODAY(),"YM") &amp; " mes"&amp; IF(DATEDIF(C24,TODAY(),"YM")=1,"","es")</f>
        <v>5 años 2 meses</v>
      </c>
      <c r="E24" t="s">
        <v>48</v>
      </c>
      <c r="F24" t="s">
        <v>53</v>
      </c>
      <c r="G24" t="s">
        <v>40</v>
      </c>
      <c r="H24" t="s">
        <v>41</v>
      </c>
      <c r="I24" s="2">
        <v>45924</v>
      </c>
      <c r="J24" s="2">
        <f ca="1">IFERROR(IF(DATEDIF(C24,TODAY(),"Y")&gt;=1,DATE(YEAR(I24),MONTH(I24)+6,DAY(I24)),DATE(YEAR(I24),MONTH(I24)+3,DAY(I24))),"NO")</f>
        <v>46105</v>
      </c>
      <c r="K24" t="s">
        <v>42</v>
      </c>
      <c r="L24" t="s">
        <v>43</v>
      </c>
      <c r="M24" t="s">
        <v>44</v>
      </c>
      <c r="N24" s="2">
        <v>45818</v>
      </c>
      <c r="O24" s="2">
        <f t="shared" si="3"/>
        <v>46183</v>
      </c>
      <c r="P24" t="s">
        <v>59</v>
      </c>
      <c r="Q24" t="s">
        <v>44</v>
      </c>
      <c r="R24" t="s">
        <v>98</v>
      </c>
      <c r="S24" t="s">
        <v>44</v>
      </c>
      <c r="T24" t="s">
        <v>40</v>
      </c>
      <c r="U24" t="s">
        <v>45</v>
      </c>
      <c r="V24" t="s">
        <v>44</v>
      </c>
      <c r="W24" t="s">
        <v>45</v>
      </c>
      <c r="AA24" t="s">
        <v>44</v>
      </c>
      <c r="AK24" t="s">
        <v>210</v>
      </c>
    </row>
    <row r="25" spans="1:37" x14ac:dyDescent="0.25">
      <c r="A25">
        <v>1007213533</v>
      </c>
      <c r="B25" t="s">
        <v>211</v>
      </c>
      <c r="C25" s="1">
        <v>42273</v>
      </c>
      <c r="D25" t="str">
        <f ca="1">DATEDIF(C25,TODAY(),"Y") &amp; " año" &amp; IF(DATEDIF(C25,TODAY(),"Y")=1,"","s")&amp; " " &amp; DATEDIF(C25,TODAY(),"YM") &amp; " mes"&amp; IF(DATEDIF(C25,TODAY(),"YM")=1,"","es")</f>
        <v>10 años 1 mes</v>
      </c>
      <c r="E25" t="s">
        <v>40</v>
      </c>
      <c r="F25" t="s">
        <v>79</v>
      </c>
      <c r="G25" t="s">
        <v>40</v>
      </c>
      <c r="H25" t="s">
        <v>49</v>
      </c>
      <c r="I25" s="2">
        <v>45744</v>
      </c>
      <c r="J25" s="2">
        <f ca="1">IFERROR(IF(DATEDIF(C25,TODAY(),"Y")&gt;=1,DATE(YEAR(I25),MONTH(I25)+6,DAY(I25)),DATE(YEAR(I25),MONTH(I25)+3,DAY(I25))),"NO")</f>
        <v>45928</v>
      </c>
      <c r="K25" t="s">
        <v>42</v>
      </c>
      <c r="L25" t="s">
        <v>43</v>
      </c>
      <c r="M25" t="s">
        <v>122</v>
      </c>
      <c r="N25" s="2">
        <v>45744</v>
      </c>
      <c r="O25" s="2">
        <f t="shared" si="3"/>
        <v>46109</v>
      </c>
      <c r="P25" s="2">
        <v>45744</v>
      </c>
      <c r="Q25" s="2">
        <f>IFERROR(DATE(YEAR(P25),MONTH(P25)+6,DAY(P25)),"")</f>
        <v>45928</v>
      </c>
      <c r="R25" s="2">
        <v>45744</v>
      </c>
      <c r="S25" s="2">
        <f>IFERROR(DATE(YEAR(R25),MONTH(R25)+6,DAY(R25)),"")</f>
        <v>45928</v>
      </c>
      <c r="T25" s="2">
        <v>45744</v>
      </c>
      <c r="U25" t="s">
        <v>44</v>
      </c>
      <c r="V25" t="s">
        <v>44</v>
      </c>
      <c r="W25" t="s">
        <v>45</v>
      </c>
      <c r="X25" t="s">
        <v>45</v>
      </c>
      <c r="AA25" t="s">
        <v>44</v>
      </c>
      <c r="AK25" t="s">
        <v>212</v>
      </c>
    </row>
    <row r="26" spans="1:37" x14ac:dyDescent="0.25">
      <c r="A26">
        <v>1006633034</v>
      </c>
      <c r="B26" t="s">
        <v>213</v>
      </c>
      <c r="C26" s="1">
        <v>45934</v>
      </c>
      <c r="D26" t="str">
        <f ca="1">DATEDIF(C26,TODAY(),"Y") &amp; " año" &amp; IF(DATEDIF(C26,TODAY(),"Y")=1,"","s")&amp; " " &amp; DATEDIF(C26,TODAY(),"YM") &amp; " mes"&amp; IF(DATEDIF(C26,TODAY(),"YM")=1,"","es")</f>
        <v>0 años 1 mes</v>
      </c>
      <c r="E26" t="s">
        <v>125</v>
      </c>
      <c r="F26" t="s">
        <v>79</v>
      </c>
      <c r="G26" t="s">
        <v>40</v>
      </c>
      <c r="H26" t="s">
        <v>49</v>
      </c>
      <c r="I26" s="2">
        <v>45931</v>
      </c>
      <c r="J26" s="2">
        <f ca="1">IFERROR(IF(DATEDIF(C26,TODAY(),"Y")&gt;=1,DATE(YEAR(I26),MONTH(I26)+6,DAY(I26)),DATE(YEAR(I26),MONTH(I26)+3,DAY(I26))),"NO")</f>
        <v>46023</v>
      </c>
      <c r="K26" t="s">
        <v>42</v>
      </c>
      <c r="L26" t="s">
        <v>43</v>
      </c>
      <c r="M26" t="s">
        <v>50</v>
      </c>
      <c r="N26" s="2">
        <v>45946</v>
      </c>
      <c r="O26" s="2">
        <f t="shared" si="3"/>
        <v>46311</v>
      </c>
      <c r="P26" s="2">
        <v>45946</v>
      </c>
      <c r="Q26" s="2">
        <f>IFERROR(DATE(YEAR(P26),MONTH(P26)+6,DAY(P26)),"")</f>
        <v>46128</v>
      </c>
      <c r="R26" s="2">
        <v>45931</v>
      </c>
      <c r="S26" s="2">
        <f>IFERROR(DATE(YEAR(R26),MONTH(R26)+6,DAY(R26)),"")</f>
        <v>46113</v>
      </c>
      <c r="T26" s="2">
        <v>45719</v>
      </c>
      <c r="U26" t="s">
        <v>44</v>
      </c>
      <c r="V26" t="s">
        <v>44</v>
      </c>
      <c r="W26" t="s">
        <v>45</v>
      </c>
      <c r="X26" t="s">
        <v>40</v>
      </c>
      <c r="AA26" t="s">
        <v>44</v>
      </c>
      <c r="AK26" t="s">
        <v>214</v>
      </c>
    </row>
    <row r="27" spans="1:37" x14ac:dyDescent="0.25">
      <c r="A27">
        <v>1006052535</v>
      </c>
      <c r="B27" t="s">
        <v>215</v>
      </c>
      <c r="C27" s="1">
        <v>41956</v>
      </c>
      <c r="D27" t="str">
        <f ca="1">DATEDIF(C27,TODAY(),"Y") &amp; " año" &amp; IF(DATEDIF(C27,TODAY(),"Y")=1,"","s")&amp; " " &amp; DATEDIF(C27,TODAY(),"YM") &amp; " mes"&amp; IF(DATEDIF(C27,TODAY(),"YM")=1,"","es")</f>
        <v>10 años 11 meses</v>
      </c>
      <c r="E27" t="s">
        <v>101</v>
      </c>
      <c r="F27" t="s">
        <v>79</v>
      </c>
      <c r="G27" t="s">
        <v>40</v>
      </c>
      <c r="H27" t="s">
        <v>49</v>
      </c>
      <c r="I27" s="2">
        <v>45890</v>
      </c>
      <c r="J27" s="2">
        <f ca="1">IFERROR(IF(DATEDIF(C27,TODAY(),"Y")&gt;=1,DATE(YEAR(I27),MONTH(I27)+6,DAY(I27)),DATE(YEAR(I27),MONTH(I27)+3,DAY(I27))),"NO")</f>
        <v>46074</v>
      </c>
      <c r="K27" t="s">
        <v>42</v>
      </c>
      <c r="L27" t="s">
        <v>43</v>
      </c>
      <c r="M27" t="s">
        <v>44</v>
      </c>
      <c r="N27" s="2">
        <v>45853</v>
      </c>
      <c r="O27" s="2">
        <f t="shared" si="3"/>
        <v>46218</v>
      </c>
      <c r="P27" s="2">
        <v>45853</v>
      </c>
      <c r="Q27" s="2">
        <f>IFERROR(DATE(YEAR(P27),MONTH(P27)+6,DAY(P27)),"")</f>
        <v>46037</v>
      </c>
      <c r="R27" s="2">
        <v>45853</v>
      </c>
      <c r="S27" s="2">
        <f>IFERROR(DATE(YEAR(R27),MONTH(R27)+6,DAY(R27)),"")</f>
        <v>46037</v>
      </c>
      <c r="T27" s="2">
        <v>45670</v>
      </c>
      <c r="U27" t="s">
        <v>44</v>
      </c>
      <c r="V27" t="s">
        <v>44</v>
      </c>
      <c r="W27" t="s">
        <v>45</v>
      </c>
      <c r="X27" t="s">
        <v>40</v>
      </c>
      <c r="AA27" t="s">
        <v>44</v>
      </c>
      <c r="AK27" t="s">
        <v>216</v>
      </c>
    </row>
    <row r="28" spans="1:37" x14ac:dyDescent="0.25">
      <c r="A28">
        <v>1005472036</v>
      </c>
      <c r="B28" t="s">
        <v>217</v>
      </c>
      <c r="C28" s="1">
        <v>42596</v>
      </c>
      <c r="D28" t="str">
        <f ca="1">DATEDIF(C28,TODAY(),"Y") &amp; " año" &amp; IF(DATEDIF(C28,TODAY(),"Y")=1,"","s")&amp; " " &amp; DATEDIF(C28,TODAY(),"YM") &amp; " mes"&amp; IF(DATEDIF(C28,TODAY(),"YM")=1,"","es")</f>
        <v>9 años 2 meses</v>
      </c>
      <c r="E28" t="s">
        <v>40</v>
      </c>
      <c r="F28" t="s">
        <v>39</v>
      </c>
      <c r="G28" t="s">
        <v>54</v>
      </c>
      <c r="H28" t="s">
        <v>41</v>
      </c>
      <c r="I28" s="2">
        <v>45779</v>
      </c>
      <c r="J28" s="2">
        <f ca="1">IFERROR(IF(DATEDIF(C28,TODAY(),"Y")&gt;=1,DATE(YEAR(I28),MONTH(I28)+6,DAY(I28)),DATE(YEAR(I28),MONTH(I28)+3,DAY(I28))),"NO")</f>
        <v>45963</v>
      </c>
      <c r="K28" t="s">
        <v>42</v>
      </c>
      <c r="L28" t="s">
        <v>43</v>
      </c>
      <c r="M28" t="s">
        <v>44</v>
      </c>
      <c r="N28" s="2">
        <v>45944</v>
      </c>
      <c r="O28" s="2">
        <f t="shared" si="3"/>
        <v>46309</v>
      </c>
      <c r="P28" s="2">
        <v>45944</v>
      </c>
      <c r="Q28" s="2">
        <f>IFERROR(DATE(YEAR(P28),MONTH(P28)+6,DAY(P28)),"")</f>
        <v>46126</v>
      </c>
      <c r="R28" s="2">
        <v>45779</v>
      </c>
      <c r="S28" s="2">
        <f>IFERROR(DATE(YEAR(R28),MONTH(R28)+6,DAY(R28)),"")</f>
        <v>45963</v>
      </c>
      <c r="T28" s="2">
        <v>45779</v>
      </c>
      <c r="U28" t="s">
        <v>44</v>
      </c>
      <c r="V28" t="s">
        <v>44</v>
      </c>
      <c r="W28" t="s">
        <v>45</v>
      </c>
      <c r="AA28" t="s">
        <v>44</v>
      </c>
      <c r="AK28" t="s">
        <v>218</v>
      </c>
    </row>
    <row r="29" spans="1:37" x14ac:dyDescent="0.25">
      <c r="A29">
        <v>1004891537</v>
      </c>
      <c r="B29" t="s">
        <v>219</v>
      </c>
      <c r="C29" s="1">
        <v>44515</v>
      </c>
      <c r="D29" t="str">
        <f ca="1">DATEDIF(C29,TODAY(),"Y") &amp; " año" &amp; IF(DATEDIF(C29,TODAY(),"Y")=1,"","s")&amp; " " &amp; DATEDIF(C29,TODAY(),"YM") &amp; " mes"&amp; IF(DATEDIF(C29,TODAY(),"YM")=1,"","es")</f>
        <v>3 años 11 meses</v>
      </c>
      <c r="E29" t="s">
        <v>132</v>
      </c>
      <c r="F29" t="s">
        <v>133</v>
      </c>
      <c r="G29" t="s">
        <v>40</v>
      </c>
      <c r="H29" t="s">
        <v>49</v>
      </c>
      <c r="I29" s="2">
        <v>45867</v>
      </c>
      <c r="J29" s="2">
        <f ca="1">IFERROR(IF(DATEDIF(C29,TODAY(),"Y")&gt;=1,DATE(YEAR(I29),MONTH(I29)+6,DAY(I29)),DATE(YEAR(I29),MONTH(I29)+3,DAY(I29))),"NO")</f>
        <v>46051</v>
      </c>
      <c r="K29" t="s">
        <v>42</v>
      </c>
      <c r="L29" t="s">
        <v>43</v>
      </c>
      <c r="M29" t="s">
        <v>44</v>
      </c>
      <c r="N29" s="2">
        <v>45881</v>
      </c>
      <c r="O29" s="2">
        <f t="shared" si="3"/>
        <v>46246</v>
      </c>
      <c r="P29" s="2">
        <v>45881</v>
      </c>
      <c r="Q29" s="2">
        <f>IFERROR(DATE(YEAR(P29),MONTH(P29)+6,DAY(P29)),"")</f>
        <v>46065</v>
      </c>
      <c r="R29" s="2">
        <v>45944</v>
      </c>
      <c r="S29" s="2">
        <f>IFERROR(DATE(YEAR(R29),MONTH(R29)+6,DAY(R29)),"")</f>
        <v>46126</v>
      </c>
      <c r="T29" s="2">
        <v>45720</v>
      </c>
      <c r="U29" t="s">
        <v>44</v>
      </c>
      <c r="V29" t="s">
        <v>44</v>
      </c>
      <c r="W29" t="s">
        <v>45</v>
      </c>
      <c r="X29" t="s">
        <v>45</v>
      </c>
      <c r="Y29" t="s">
        <v>40</v>
      </c>
      <c r="AA29" t="s">
        <v>44</v>
      </c>
      <c r="AK29" t="s">
        <v>220</v>
      </c>
    </row>
    <row r="30" spans="1:37" x14ac:dyDescent="0.25">
      <c r="C30" s="1"/>
    </row>
    <row r="31" spans="1:37" x14ac:dyDescent="0.25">
      <c r="C3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1"/>
  <sheetViews>
    <sheetView topLeftCell="A19" workbookViewId="0">
      <selection activeCell="A30" sqref="A30:A67"/>
    </sheetView>
  </sheetViews>
  <sheetFormatPr baseColWidth="10"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3" t="s">
        <v>36</v>
      </c>
    </row>
    <row r="2" spans="1:37" x14ac:dyDescent="0.25">
      <c r="A2">
        <v>1004311038</v>
      </c>
      <c r="B2" t="s">
        <v>221</v>
      </c>
      <c r="C2" s="1">
        <v>43091</v>
      </c>
      <c r="D2" t="str">
        <f ca="1">DATEDIF(C2,TODAY(),"Y") &amp; " año" &amp; IF(DATEDIF(C2,TODAY(),"Y")=1,"","s")&amp; " " &amp; DATEDIF(C2,TODAY(),"YM") &amp; " mes"&amp; IF(DATEDIF(C2,TODAY(),"YM")=1,"","es")</f>
        <v>7 años 10 meses</v>
      </c>
      <c r="E2" t="s">
        <v>38</v>
      </c>
      <c r="F2" t="s">
        <v>39</v>
      </c>
      <c r="G2" t="s">
        <v>40</v>
      </c>
      <c r="H2" t="s">
        <v>41</v>
      </c>
      <c r="I2" s="2">
        <v>45925</v>
      </c>
      <c r="J2" s="2">
        <f ca="1">IFERROR(IF(DATEDIF(C2,TODAY(),"Y")&gt;=1,DATE(YEAR(I2),MONTH(I2)+6,DAY(I2)),DATE(YEAR(I2),MONTH(I2)+3,DAY(I2))),"NO")</f>
        <v>46106</v>
      </c>
      <c r="K2" t="s">
        <v>42</v>
      </c>
      <c r="L2" t="s">
        <v>43</v>
      </c>
      <c r="M2" t="s">
        <v>44</v>
      </c>
      <c r="N2" s="2">
        <v>45895</v>
      </c>
      <c r="O2" s="2">
        <f>IFERROR(DATE(YEAR(N2)+1,MONTH(N2),DAY(N2)),"")</f>
        <v>46260</v>
      </c>
      <c r="P2" s="2">
        <v>45895</v>
      </c>
      <c r="Q2" s="2">
        <f>IFERROR(DATE(YEAR(P2),MONTH(P2)+6,DAY(P2)),"")</f>
        <v>46079</v>
      </c>
      <c r="R2" s="2">
        <v>45777</v>
      </c>
      <c r="S2" s="2">
        <f>IFERROR(DATE(YEAR(R2),MONTH(R2)+6,DAY(R2)),"")</f>
        <v>45960</v>
      </c>
      <c r="T2" s="2">
        <v>45777</v>
      </c>
      <c r="U2" t="s">
        <v>44</v>
      </c>
      <c r="V2" t="s">
        <v>44</v>
      </c>
      <c r="W2" t="s">
        <v>45</v>
      </c>
      <c r="X2" t="s">
        <v>40</v>
      </c>
      <c r="AA2" t="s">
        <v>44</v>
      </c>
      <c r="AK2" t="s">
        <v>222</v>
      </c>
    </row>
    <row r="3" spans="1:37" x14ac:dyDescent="0.25">
      <c r="A3">
        <v>1003730539</v>
      </c>
      <c r="B3" t="s">
        <v>223</v>
      </c>
      <c r="C3" s="1">
        <v>45612</v>
      </c>
      <c r="D3" t="str">
        <f ca="1">DATEDIF(C3,TODAY(),"Y") &amp; " año" &amp; IF(DATEDIF(C3,TODAY(),"Y")=1,"","s")&amp; " " &amp; DATEDIF(C3,TODAY(),"YM") &amp; " mes"&amp; IF(DATEDIF(C3,TODAY(),"YM")=1,"","es")</f>
        <v>0 años 11 meses</v>
      </c>
      <c r="E3" t="s">
        <v>48</v>
      </c>
      <c r="F3" t="s">
        <v>39</v>
      </c>
      <c r="G3" t="s">
        <v>40</v>
      </c>
      <c r="H3" t="s">
        <v>49</v>
      </c>
      <c r="I3" s="2">
        <v>45925</v>
      </c>
      <c r="J3" s="2">
        <f ca="1">IFERROR(IF(DATEDIF(C3,TODAY(),"Y")&gt;=1,DATE(YEAR(I3),MONTH(I3)+6,DAY(I3)),DATE(YEAR(I3),MONTH(I3)+3,DAY(I3))),"NO")</f>
        <v>46016</v>
      </c>
      <c r="K3" t="s">
        <v>42</v>
      </c>
      <c r="L3" t="s">
        <v>43</v>
      </c>
      <c r="M3" t="s">
        <v>50</v>
      </c>
      <c r="N3" s="2">
        <v>45929</v>
      </c>
      <c r="O3" s="2">
        <f>IFERROR(DATE(YEAR(N3)+1,MONTH(N3),DAY(N3)),"")</f>
        <v>46294</v>
      </c>
      <c r="P3" s="2">
        <v>45929</v>
      </c>
      <c r="Q3" s="2">
        <f>IFERROR(DATE(YEAR(P3),MONTH(P3)+6,DAY(P3)),"")</f>
        <v>46110</v>
      </c>
      <c r="R3" s="2">
        <v>45925</v>
      </c>
      <c r="S3" s="2">
        <f>IFERROR(DATE(YEAR(R3),MONTH(R3)+6,DAY(R3)),"")</f>
        <v>46106</v>
      </c>
      <c r="T3" s="2">
        <v>45580</v>
      </c>
      <c r="U3" t="s">
        <v>44</v>
      </c>
      <c r="V3" t="s">
        <v>44</v>
      </c>
      <c r="W3" t="s">
        <v>45</v>
      </c>
      <c r="X3" t="s">
        <v>45</v>
      </c>
      <c r="Y3" t="s">
        <v>40</v>
      </c>
      <c r="AA3" t="s">
        <v>44</v>
      </c>
      <c r="AK3" t="s">
        <v>224</v>
      </c>
    </row>
    <row r="4" spans="1:37" x14ac:dyDescent="0.25">
      <c r="A4">
        <v>1003150040</v>
      </c>
      <c r="B4" t="s">
        <v>225</v>
      </c>
      <c r="C4" s="1">
        <v>44357</v>
      </c>
      <c r="D4" t="str">
        <f ca="1">DATEDIF(C4,TODAY(),"Y") &amp; " año" &amp; IF(DATEDIF(C4,TODAY(),"Y")=1,"","s")&amp; " " &amp; DATEDIF(C4,TODAY(),"YM") &amp; " mes"&amp; IF(DATEDIF(C4,TODAY(),"YM")=1,"","es")</f>
        <v>4 años 4 meses</v>
      </c>
      <c r="E4" t="s">
        <v>40</v>
      </c>
      <c r="F4" t="s">
        <v>53</v>
      </c>
      <c r="G4" t="s">
        <v>54</v>
      </c>
      <c r="H4" t="s">
        <v>49</v>
      </c>
      <c r="I4" s="2">
        <v>45805</v>
      </c>
      <c r="J4" s="2">
        <f ca="1">IFERROR(IF(DATEDIF(C4,TODAY(),"Y")&gt;=1,DATE(YEAR(I4),MONTH(I4)+6,DAY(I4)),DATE(YEAR(I4),MONTH(I4)+3,DAY(I4))),"NO")</f>
        <v>45989</v>
      </c>
      <c r="K4" t="s">
        <v>42</v>
      </c>
      <c r="L4" t="s">
        <v>43</v>
      </c>
      <c r="M4" t="s">
        <v>55</v>
      </c>
      <c r="N4" s="2">
        <v>45901</v>
      </c>
      <c r="O4" s="2">
        <f>IFERROR(DATE(YEAR(N4)+1,MONTH(N4),DAY(N4)),"")</f>
        <v>46266</v>
      </c>
      <c r="P4" s="2">
        <v>45901</v>
      </c>
      <c r="Q4" s="2">
        <f>IFERROR(DATE(YEAR(P4),MONTH(P4)+6,DAY(P4)),"")</f>
        <v>46082</v>
      </c>
      <c r="R4" s="2">
        <v>45717</v>
      </c>
      <c r="S4" s="2">
        <f>IFERROR(DATE(YEAR(R4),MONTH(R4)+6,DAY(R4)),"")</f>
        <v>45901</v>
      </c>
      <c r="T4" s="2">
        <v>45717</v>
      </c>
      <c r="U4" t="s">
        <v>44</v>
      </c>
      <c r="V4" t="s">
        <v>44</v>
      </c>
      <c r="W4" t="s">
        <v>45</v>
      </c>
      <c r="X4" t="s">
        <v>45</v>
      </c>
      <c r="Y4" t="s">
        <v>40</v>
      </c>
      <c r="AA4" t="s">
        <v>44</v>
      </c>
      <c r="AK4" t="s">
        <v>226</v>
      </c>
    </row>
    <row r="5" spans="1:37" x14ac:dyDescent="0.25">
      <c r="A5">
        <v>1002569541</v>
      </c>
      <c r="B5" t="s">
        <v>227</v>
      </c>
      <c r="C5" s="1">
        <v>42546</v>
      </c>
      <c r="D5" t="str">
        <f ca="1">DATEDIF(C5,TODAY(),"Y") &amp; " año" &amp; IF(DATEDIF(C5,TODAY(),"Y")=1,"","s")&amp; " " &amp; DATEDIF(C5,TODAY(),"YM") &amp; " mes"&amp; IF(DATEDIF(C5,TODAY(),"YM")=1,"","es")</f>
        <v>9 años 4 meses</v>
      </c>
      <c r="E5" t="s">
        <v>58</v>
      </c>
      <c r="F5" t="s">
        <v>53</v>
      </c>
      <c r="G5" t="s">
        <v>40</v>
      </c>
      <c r="H5" t="s">
        <v>41</v>
      </c>
      <c r="I5" s="2">
        <v>45875</v>
      </c>
      <c r="J5" s="2">
        <f ca="1">IFERROR(IF(DATEDIF(C5,TODAY(),"Y")&gt;=1,DATE(YEAR(I5),MONTH(I5)+6,DAY(I5)),DATE(YEAR(I5),MONTH(I5)+3,DAY(I5))),"NO")</f>
        <v>46059</v>
      </c>
      <c r="K5" t="s">
        <v>42</v>
      </c>
      <c r="L5" t="s">
        <v>43</v>
      </c>
      <c r="M5" t="s">
        <v>44</v>
      </c>
      <c r="N5" s="2">
        <v>45869</v>
      </c>
      <c r="O5" s="2">
        <f>IFERROR(DATE(YEAR(N5)+1,MONTH(N5),DAY(N5)),"")</f>
        <v>46234</v>
      </c>
      <c r="P5" t="s">
        <v>59</v>
      </c>
      <c r="Q5" t="s">
        <v>44</v>
      </c>
      <c r="R5" t="s">
        <v>40</v>
      </c>
      <c r="T5" t="s">
        <v>40</v>
      </c>
      <c r="U5" t="s">
        <v>44</v>
      </c>
      <c r="V5" t="s">
        <v>44</v>
      </c>
      <c r="W5" t="s">
        <v>45</v>
      </c>
      <c r="AA5" t="s">
        <v>44</v>
      </c>
      <c r="AK5" t="s">
        <v>228</v>
      </c>
    </row>
    <row r="6" spans="1:37" x14ac:dyDescent="0.25">
      <c r="A6">
        <v>1001989042</v>
      </c>
      <c r="B6" t="s">
        <v>229</v>
      </c>
      <c r="C6" s="1">
        <v>45065</v>
      </c>
      <c r="D6" t="str">
        <f ca="1">DATEDIF(C6,TODAY(),"Y") &amp; " año" &amp; IF(DATEDIF(C6,TODAY(),"Y")=1,"","s")&amp; " " &amp; DATEDIF(C6,TODAY(),"YM") &amp; " mes"&amp; IF(DATEDIF(C6,TODAY(),"YM")=1,"","es")</f>
        <v>2 años 5 meses</v>
      </c>
      <c r="E6" t="s">
        <v>62</v>
      </c>
      <c r="F6" t="s">
        <v>53</v>
      </c>
      <c r="G6" t="s">
        <v>54</v>
      </c>
      <c r="H6" t="s">
        <v>49</v>
      </c>
      <c r="I6" s="2">
        <v>45820</v>
      </c>
      <c r="J6" s="2">
        <f ca="1">IFERROR(IF(DATEDIF(C6,TODAY(),"Y")&gt;=1,DATE(YEAR(I6),MONTH(I6)+6,DAY(I6)),DATE(YEAR(I6),MONTH(I6)+3,DAY(I6))),"NO")</f>
        <v>46003</v>
      </c>
      <c r="K6" t="s">
        <v>42</v>
      </c>
      <c r="L6" t="s">
        <v>43</v>
      </c>
      <c r="M6" t="s">
        <v>44</v>
      </c>
      <c r="N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44</v>
      </c>
      <c r="V6" t="s">
        <v>44</v>
      </c>
      <c r="W6" t="s">
        <v>45</v>
      </c>
      <c r="AK6" t="s">
        <v>230</v>
      </c>
    </row>
    <row r="7" spans="1:37" x14ac:dyDescent="0.25">
      <c r="A7">
        <v>1001408543</v>
      </c>
      <c r="B7" t="s">
        <v>231</v>
      </c>
      <c r="C7" s="1">
        <v>45626</v>
      </c>
      <c r="D7" t="str">
        <f ca="1">DATEDIF(C7,TODAY(),"Y") &amp; " año" &amp; IF(DATEDIF(C7,TODAY(),"Y")=1,"","s")&amp; " " &amp; DATEDIF(C7,TODAY(),"YM") &amp; " mes"&amp; IF(DATEDIF(C7,TODAY(),"YM")=1,"","es")</f>
        <v>0 años 11 meses</v>
      </c>
      <c r="E7" t="s">
        <v>65</v>
      </c>
      <c r="F7" t="s">
        <v>53</v>
      </c>
      <c r="G7" t="s">
        <v>40</v>
      </c>
      <c r="H7" t="s">
        <v>49</v>
      </c>
      <c r="I7" s="2">
        <v>45758</v>
      </c>
      <c r="J7" s="2">
        <f ca="1">IFERROR(IF(DATEDIF(C7,TODAY(),"Y")&gt;=1,DATE(YEAR(I7),MONTH(I7)+6,DAY(I7)),DATE(YEAR(I7),MONTH(I7)+3,DAY(I7))),"NO")</f>
        <v>45849</v>
      </c>
      <c r="K7" t="s">
        <v>42</v>
      </c>
      <c r="L7" t="s">
        <v>43</v>
      </c>
      <c r="M7" t="s">
        <v>66</v>
      </c>
      <c r="N7" s="2">
        <v>45776</v>
      </c>
      <c r="O7" s="2">
        <f t="shared" ref="O7:O15" si="0">IFERROR(DATE(YEAR(N7)+1,MONTH(N7),DAY(N7)),"")</f>
        <v>46141</v>
      </c>
      <c r="P7" s="2">
        <v>45776</v>
      </c>
      <c r="Q7" s="2">
        <f t="shared" ref="Q7:Q15" si="1">IFERROR(DATE(YEAR(P7),MONTH(P7)+6,DAY(P7)),"")</f>
        <v>45959</v>
      </c>
      <c r="R7" s="2">
        <v>45916</v>
      </c>
      <c r="S7" s="2">
        <f t="shared" ref="S7:S14" si="2">IFERROR(DATE(YEAR(R7),MONTH(R7)+6,DAY(R7)),"")</f>
        <v>46097</v>
      </c>
      <c r="T7" t="s">
        <v>40</v>
      </c>
      <c r="U7" t="s">
        <v>45</v>
      </c>
      <c r="V7" t="s">
        <v>44</v>
      </c>
      <c r="W7" t="s">
        <v>45</v>
      </c>
      <c r="X7" t="s">
        <v>45</v>
      </c>
      <c r="Y7" t="s">
        <v>40</v>
      </c>
      <c r="AA7" t="s">
        <v>44</v>
      </c>
      <c r="AK7" t="s">
        <v>232</v>
      </c>
    </row>
    <row r="8" spans="1:37" x14ac:dyDescent="0.25">
      <c r="A8">
        <v>1000828044</v>
      </c>
      <c r="B8" t="s">
        <v>233</v>
      </c>
      <c r="C8" s="1">
        <v>43510</v>
      </c>
      <c r="D8" t="str">
        <f ca="1">DATEDIF(C8,TODAY(),"Y") &amp; " año" &amp; IF(DATEDIF(C8,TODAY(),"Y")=1,"","s")&amp; " " &amp; DATEDIF(C8,TODAY(),"YM") &amp; " mes"&amp; IF(DATEDIF(C8,TODAY(),"YM")=1,"","es")</f>
        <v>6 años 8 meses</v>
      </c>
      <c r="E8" t="s">
        <v>69</v>
      </c>
      <c r="F8" t="s">
        <v>39</v>
      </c>
      <c r="G8" t="s">
        <v>40</v>
      </c>
      <c r="H8" t="s">
        <v>49</v>
      </c>
      <c r="I8" s="2">
        <v>45860</v>
      </c>
      <c r="J8" s="2">
        <f ca="1">IFERROR(IF(DATEDIF(C8,TODAY(),"Y")&gt;=1,DATE(YEAR(I8),MONTH(I8)+6,DAY(I8)),DATE(YEAR(I8),MONTH(I8)+3,DAY(I8))),"NO")</f>
        <v>46044</v>
      </c>
      <c r="K8" t="s">
        <v>42</v>
      </c>
      <c r="L8" t="s">
        <v>43</v>
      </c>
      <c r="M8" t="s">
        <v>44</v>
      </c>
      <c r="N8" s="2">
        <v>45635</v>
      </c>
      <c r="O8" s="2">
        <f t="shared" si="0"/>
        <v>46000</v>
      </c>
      <c r="P8" s="2">
        <v>45806</v>
      </c>
      <c r="Q8" s="2">
        <f t="shared" si="1"/>
        <v>45990</v>
      </c>
      <c r="R8" s="2">
        <v>45860</v>
      </c>
      <c r="S8" s="2">
        <f t="shared" si="2"/>
        <v>46044</v>
      </c>
      <c r="T8" s="2">
        <v>45860</v>
      </c>
      <c r="U8" t="s">
        <v>44</v>
      </c>
      <c r="V8" t="s">
        <v>44</v>
      </c>
      <c r="W8" t="s">
        <v>40</v>
      </c>
      <c r="X8" t="s">
        <v>40</v>
      </c>
      <c r="AA8" t="s">
        <v>44</v>
      </c>
      <c r="AK8" t="s">
        <v>234</v>
      </c>
    </row>
    <row r="9" spans="1:37" x14ac:dyDescent="0.25">
      <c r="A9">
        <v>1000247545</v>
      </c>
      <c r="B9" t="s">
        <v>235</v>
      </c>
      <c r="C9" s="1">
        <v>45123</v>
      </c>
      <c r="D9" t="str">
        <f ca="1">DATEDIF(C9,TODAY(),"Y") &amp; " año" &amp; IF(DATEDIF(C9,TODAY(),"Y")=1,"","s")&amp; " " &amp; DATEDIF(C9,TODAY(),"YM") &amp; " mes"&amp; IF(DATEDIF(C9,TODAY(),"YM")=1,"","es")</f>
        <v>2 años 3 meses</v>
      </c>
      <c r="E9" t="s">
        <v>72</v>
      </c>
      <c r="F9" t="s">
        <v>53</v>
      </c>
      <c r="G9" t="s">
        <v>40</v>
      </c>
      <c r="H9" t="s">
        <v>49</v>
      </c>
      <c r="I9" s="2">
        <v>45860</v>
      </c>
      <c r="J9" s="2">
        <f ca="1">IFERROR(IF(DATEDIF(C9,TODAY(),"Y")&gt;=1,DATE(YEAR(I9),MONTH(I9)+6,DAY(I9)),DATE(YEAR(I9),MONTH(I9)+3,DAY(I9))),"NO")</f>
        <v>46044</v>
      </c>
      <c r="K9" t="s">
        <v>42</v>
      </c>
      <c r="L9" t="s">
        <v>43</v>
      </c>
      <c r="M9" t="s">
        <v>66</v>
      </c>
      <c r="N9" s="2">
        <v>45932</v>
      </c>
      <c r="O9" s="2">
        <f t="shared" si="0"/>
        <v>46297</v>
      </c>
      <c r="P9" s="2">
        <v>45932</v>
      </c>
      <c r="Q9" s="2">
        <f t="shared" si="1"/>
        <v>46114</v>
      </c>
      <c r="R9" s="2">
        <v>45860</v>
      </c>
      <c r="S9" s="2">
        <f t="shared" si="2"/>
        <v>46044</v>
      </c>
      <c r="T9" s="2">
        <v>45860</v>
      </c>
      <c r="U9" t="s">
        <v>44</v>
      </c>
      <c r="V9" t="s">
        <v>44</v>
      </c>
      <c r="W9" t="s">
        <v>45</v>
      </c>
      <c r="X9" t="s">
        <v>45</v>
      </c>
      <c r="AA9" t="s">
        <v>44</v>
      </c>
      <c r="AK9" t="s">
        <v>236</v>
      </c>
    </row>
    <row r="10" spans="1:37" x14ac:dyDescent="0.25">
      <c r="A10">
        <v>1004311011</v>
      </c>
      <c r="B10" t="s">
        <v>237</v>
      </c>
      <c r="C10" s="1">
        <v>42223</v>
      </c>
      <c r="D10" t="str">
        <f ca="1">DATEDIF(C10,TODAY(),"Y") &amp; " año" &amp; IF(DATEDIF(C10,TODAY(),"Y")=1,"","s")&amp; " " &amp; DATEDIF(C10,TODAY(),"YM") &amp; " mes"&amp; IF(DATEDIF(C10,TODAY(),"YM")=1,"","es")</f>
        <v>10 años 3 meses</v>
      </c>
      <c r="E10" t="s">
        <v>75</v>
      </c>
      <c r="F10" t="s">
        <v>53</v>
      </c>
      <c r="G10" t="s">
        <v>40</v>
      </c>
      <c r="H10" t="s">
        <v>49</v>
      </c>
      <c r="I10" s="2">
        <v>45797</v>
      </c>
      <c r="J10" s="2">
        <f ca="1">IFERROR(IF(DATEDIF(C10,TODAY(),"Y")&gt;=1,DATE(YEAR(I10),MONTH(I10)+6,DAY(I10)),DATE(YEAR(I10),MONTH(I10)+3,DAY(I10))),"NO")</f>
        <v>45981</v>
      </c>
      <c r="K10" t="s">
        <v>42</v>
      </c>
      <c r="L10" t="s">
        <v>43</v>
      </c>
      <c r="M10" t="s">
        <v>44</v>
      </c>
      <c r="N10" s="2">
        <v>45930</v>
      </c>
      <c r="O10" s="2">
        <f t="shared" si="0"/>
        <v>46295</v>
      </c>
      <c r="P10" s="2">
        <v>45930</v>
      </c>
      <c r="Q10" s="2">
        <f t="shared" si="1"/>
        <v>46111</v>
      </c>
      <c r="R10" s="2">
        <v>45889</v>
      </c>
      <c r="S10" s="2">
        <f t="shared" si="2"/>
        <v>46073</v>
      </c>
      <c r="T10" s="2">
        <v>45685</v>
      </c>
      <c r="U10" t="s">
        <v>44</v>
      </c>
      <c r="V10" t="s">
        <v>44</v>
      </c>
      <c r="W10" t="s">
        <v>45</v>
      </c>
      <c r="X10" t="s">
        <v>40</v>
      </c>
      <c r="AA10" t="s">
        <v>44</v>
      </c>
      <c r="AK10" t="s">
        <v>238</v>
      </c>
    </row>
    <row r="11" spans="1:37" x14ac:dyDescent="0.25">
      <c r="A11">
        <v>1003730012</v>
      </c>
      <c r="B11" t="s">
        <v>239</v>
      </c>
      <c r="C11" s="1">
        <v>43422</v>
      </c>
      <c r="D11" t="str">
        <f ca="1">DATEDIF(C11,TODAY(),"Y") &amp; " año" &amp; IF(DATEDIF(C11,TODAY(),"Y")=1,"","s")&amp; " " &amp; DATEDIF(C11,TODAY(),"YM") &amp; " mes"&amp; IF(DATEDIF(C11,TODAY(),"YM")=1,"","es")</f>
        <v>6 años 11 meses</v>
      </c>
      <c r="E11" t="s">
        <v>78</v>
      </c>
      <c r="F11" t="s">
        <v>79</v>
      </c>
      <c r="G11" t="s">
        <v>54</v>
      </c>
      <c r="H11" t="s">
        <v>41</v>
      </c>
      <c r="I11" s="2">
        <v>45923</v>
      </c>
      <c r="J11" s="2">
        <f ca="1">IFERROR(IF(DATEDIF(C11,TODAY(),"Y")&gt;=1,DATE(YEAR(I11),MONTH(I11)+6,DAY(I11)),DATE(YEAR(I11),MONTH(I11)+3,DAY(I11))),"NO")</f>
        <v>46104</v>
      </c>
      <c r="K11" t="s">
        <v>42</v>
      </c>
      <c r="L11" t="s">
        <v>43</v>
      </c>
      <c r="M11" t="s">
        <v>44</v>
      </c>
      <c r="N11" s="2">
        <v>45749</v>
      </c>
      <c r="O11" s="2">
        <f t="shared" si="0"/>
        <v>46114</v>
      </c>
      <c r="P11" s="2">
        <v>45749</v>
      </c>
      <c r="Q11" s="2">
        <f t="shared" si="1"/>
        <v>45932</v>
      </c>
      <c r="R11" s="2">
        <v>45923</v>
      </c>
      <c r="S11" s="2">
        <f t="shared" si="2"/>
        <v>46104</v>
      </c>
      <c r="T11" s="2">
        <v>45785</v>
      </c>
      <c r="U11" t="s">
        <v>45</v>
      </c>
      <c r="V11" t="s">
        <v>44</v>
      </c>
      <c r="W11" t="s">
        <v>45</v>
      </c>
      <c r="X11" t="s">
        <v>40</v>
      </c>
      <c r="AA11" t="s">
        <v>44</v>
      </c>
      <c r="AK11" t="s">
        <v>240</v>
      </c>
    </row>
    <row r="12" spans="1:37" x14ac:dyDescent="0.25">
      <c r="A12">
        <v>1003150013</v>
      </c>
      <c r="B12" t="s">
        <v>241</v>
      </c>
      <c r="C12" s="1">
        <v>42975</v>
      </c>
      <c r="D12" t="str">
        <f ca="1">DATEDIF(C12,TODAY(),"Y") &amp; " año" &amp; IF(DATEDIF(C12,TODAY(),"Y")=1,"","s")&amp; " " &amp; DATEDIF(C12,TODAY(),"YM") &amp; " mes"&amp; IF(DATEDIF(C12,TODAY(),"YM")=1,"","es")</f>
        <v>8 años 2 meses</v>
      </c>
      <c r="E12" t="s">
        <v>82</v>
      </c>
      <c r="F12" t="s">
        <v>53</v>
      </c>
      <c r="G12" t="s">
        <v>40</v>
      </c>
      <c r="H12" t="s">
        <v>41</v>
      </c>
      <c r="I12" s="2">
        <v>45902</v>
      </c>
      <c r="J12" s="2">
        <f ca="1">IFERROR(IF(DATEDIF(C12,TODAY(),"Y")&gt;=1,DATE(YEAR(I12),MONTH(I12)+6,DAY(I12)),DATE(YEAR(I12),MONTH(I12)+3,DAY(I12))),"NO")</f>
        <v>46083</v>
      </c>
      <c r="K12" t="s">
        <v>42</v>
      </c>
      <c r="L12" t="s">
        <v>43</v>
      </c>
      <c r="M12" t="s">
        <v>44</v>
      </c>
      <c r="N12" s="2">
        <v>45862</v>
      </c>
      <c r="O12" s="2">
        <f t="shared" si="0"/>
        <v>46227</v>
      </c>
      <c r="P12" s="2">
        <v>45862</v>
      </c>
      <c r="Q12" s="2">
        <f t="shared" si="1"/>
        <v>46046</v>
      </c>
      <c r="R12" s="2">
        <v>45902</v>
      </c>
      <c r="S12" s="2">
        <f t="shared" si="2"/>
        <v>46083</v>
      </c>
      <c r="T12" t="s">
        <v>40</v>
      </c>
      <c r="U12" t="s">
        <v>44</v>
      </c>
      <c r="V12" t="s">
        <v>44</v>
      </c>
      <c r="W12" t="s">
        <v>45</v>
      </c>
      <c r="X12" t="s">
        <v>40</v>
      </c>
      <c r="AA12" t="s">
        <v>44</v>
      </c>
      <c r="AK12" t="s">
        <v>242</v>
      </c>
    </row>
    <row r="13" spans="1:37" x14ac:dyDescent="0.25">
      <c r="A13">
        <v>1002569347.33333</v>
      </c>
      <c r="B13" t="s">
        <v>243</v>
      </c>
      <c r="C13" s="1">
        <v>43929</v>
      </c>
      <c r="D13" t="str">
        <f ca="1">DATEDIF(C13,TODAY(),"Y") &amp; " año" &amp; IF(DATEDIF(C13,TODAY(),"Y")=1,"","s")&amp; " " &amp; DATEDIF(C13,TODAY(),"YM") &amp; " mes"&amp; IF(DATEDIF(C13,TODAY(),"YM")=1,"","es")</f>
        <v>5 años 6 meses</v>
      </c>
      <c r="E13" t="s">
        <v>85</v>
      </c>
      <c r="F13" t="s">
        <v>39</v>
      </c>
      <c r="G13" t="s">
        <v>40</v>
      </c>
      <c r="H13" t="s">
        <v>49</v>
      </c>
      <c r="I13" s="2">
        <v>45827</v>
      </c>
      <c r="J13" s="2">
        <f ca="1">IFERROR(IF(DATEDIF(C13,TODAY(),"Y")&gt;=1,DATE(YEAR(I13),MONTH(I13)+6,DAY(I13)),DATE(YEAR(I13),MONTH(I13)+3,DAY(I13))),"NO")</f>
        <v>46010</v>
      </c>
      <c r="K13" t="s">
        <v>42</v>
      </c>
      <c r="L13" t="s">
        <v>43</v>
      </c>
      <c r="M13" t="s">
        <v>50</v>
      </c>
      <c r="N13" s="2">
        <v>45646</v>
      </c>
      <c r="O13" s="2">
        <f t="shared" si="0"/>
        <v>46011</v>
      </c>
      <c r="P13" s="2">
        <v>45805</v>
      </c>
      <c r="Q13" s="2">
        <f t="shared" si="1"/>
        <v>45989</v>
      </c>
      <c r="R13" s="2">
        <v>45827</v>
      </c>
      <c r="S13" s="2">
        <f t="shared" si="2"/>
        <v>46010</v>
      </c>
      <c r="T13" s="2">
        <v>45827</v>
      </c>
      <c r="U13" t="s">
        <v>44</v>
      </c>
      <c r="V13" t="s">
        <v>44</v>
      </c>
      <c r="W13" t="s">
        <v>45</v>
      </c>
      <c r="X13" t="s">
        <v>45</v>
      </c>
      <c r="AA13" t="s">
        <v>44</v>
      </c>
      <c r="AK13" t="s">
        <v>244</v>
      </c>
    </row>
    <row r="14" spans="1:37" x14ac:dyDescent="0.25">
      <c r="A14">
        <v>1001988848.33333</v>
      </c>
      <c r="B14" t="s">
        <v>245</v>
      </c>
      <c r="C14" s="1">
        <v>43776</v>
      </c>
      <c r="D14" t="str">
        <f ca="1">DATEDIF(C14,TODAY(),"Y") &amp; " año" &amp; IF(DATEDIF(C14,TODAY(),"Y")=1,"","s")&amp; " " &amp; DATEDIF(C14,TODAY(),"YM") &amp; " mes"&amp; IF(DATEDIF(C14,TODAY(),"YM")=1,"","es")</f>
        <v>6 años 0 meses</v>
      </c>
      <c r="E14" t="s">
        <v>88</v>
      </c>
      <c r="F14" t="s">
        <v>89</v>
      </c>
      <c r="G14" t="s">
        <v>40</v>
      </c>
      <c r="H14" t="s">
        <v>49</v>
      </c>
      <c r="I14" s="2">
        <v>45932</v>
      </c>
      <c r="J14" s="2">
        <f ca="1">IFERROR(IF(DATEDIF(C14,TODAY(),"Y")&gt;=1,DATE(YEAR(I14),MONTH(I14)+6,DAY(I14)),DATE(YEAR(I14),MONTH(I14)+3,DAY(I14))),"NO")</f>
        <v>46114</v>
      </c>
      <c r="K14" t="s">
        <v>42</v>
      </c>
      <c r="L14" t="s">
        <v>43</v>
      </c>
      <c r="M14" t="s">
        <v>44</v>
      </c>
      <c r="N14" s="2">
        <v>45878</v>
      </c>
      <c r="O14" s="2">
        <f t="shared" si="0"/>
        <v>46243</v>
      </c>
      <c r="P14" s="2">
        <v>45878</v>
      </c>
      <c r="Q14" s="2">
        <f t="shared" si="1"/>
        <v>46062</v>
      </c>
      <c r="R14" s="2">
        <v>45932</v>
      </c>
      <c r="S14" s="2">
        <f t="shared" si="2"/>
        <v>46114</v>
      </c>
      <c r="T14" s="2">
        <v>45586</v>
      </c>
      <c r="U14" t="s">
        <v>44</v>
      </c>
      <c r="V14" t="s">
        <v>44</v>
      </c>
      <c r="W14" t="s">
        <v>45</v>
      </c>
      <c r="X14" t="s">
        <v>40</v>
      </c>
      <c r="AA14" t="s">
        <v>44</v>
      </c>
      <c r="AK14" t="s">
        <v>246</v>
      </c>
    </row>
    <row r="15" spans="1:37" x14ac:dyDescent="0.25">
      <c r="A15">
        <v>1001408349.33333</v>
      </c>
      <c r="B15" t="s">
        <v>247</v>
      </c>
      <c r="C15" s="1">
        <v>42251</v>
      </c>
      <c r="D15" t="str">
        <f ca="1">DATEDIF(C15,TODAY(),"Y") &amp; " año" &amp; IF(DATEDIF(C15,TODAY(),"Y")=1,"","s")&amp; " " &amp; DATEDIF(C15,TODAY(),"YM") &amp; " mes"&amp; IF(DATEDIF(C15,TODAY(),"YM")=1,"","es")</f>
        <v>10 años 2 meses</v>
      </c>
      <c r="E15" t="s">
        <v>92</v>
      </c>
      <c r="F15" t="s">
        <v>53</v>
      </c>
      <c r="G15" t="s">
        <v>40</v>
      </c>
      <c r="H15" t="s">
        <v>49</v>
      </c>
      <c r="I15" s="2">
        <v>45861</v>
      </c>
      <c r="J15" s="2">
        <f ca="1">IFERROR(IF(DATEDIF(C15,TODAY(),"Y")&gt;=1,DATE(YEAR(I15),MONTH(I15)+6,DAY(I15)),DATE(YEAR(I15),MONTH(I15)+3,DAY(I15))),"NO")</f>
        <v>46045</v>
      </c>
      <c r="K15" t="s">
        <v>42</v>
      </c>
      <c r="L15" t="s">
        <v>43</v>
      </c>
      <c r="M15" t="s">
        <v>44</v>
      </c>
      <c r="N15" s="2">
        <v>45937</v>
      </c>
      <c r="O15" s="2">
        <f t="shared" si="0"/>
        <v>46302</v>
      </c>
      <c r="P15" s="2">
        <v>45937</v>
      </c>
      <c r="Q15" s="2">
        <f t="shared" si="1"/>
        <v>46119</v>
      </c>
      <c r="R15" t="s">
        <v>40</v>
      </c>
      <c r="S15" t="s">
        <v>44</v>
      </c>
      <c r="T15" t="s">
        <v>40</v>
      </c>
      <c r="U15" t="s">
        <v>45</v>
      </c>
      <c r="V15" t="s">
        <v>44</v>
      </c>
      <c r="W15" t="s">
        <v>45</v>
      </c>
      <c r="X15" t="s">
        <v>40</v>
      </c>
      <c r="AA15" t="s">
        <v>44</v>
      </c>
      <c r="AK15" t="s">
        <v>248</v>
      </c>
    </row>
    <row r="16" spans="1:37" x14ac:dyDescent="0.25">
      <c r="A16">
        <v>1000827850.33333</v>
      </c>
      <c r="B16" t="s">
        <v>249</v>
      </c>
      <c r="C16" s="1">
        <v>45326</v>
      </c>
      <c r="D16" t="str">
        <f ca="1">DATEDIF(C16,TODAY(),"Y") &amp; " año" &amp; IF(DATEDIF(C16,TODAY(),"Y")=1,"","s")&amp; " " &amp; DATEDIF(C16,TODAY(),"YM") &amp; " mes"&amp; IF(DATEDIF(C16,TODAY(),"YM")=1,"","es")</f>
        <v>1 año 9 meses</v>
      </c>
      <c r="E16" t="s">
        <v>40</v>
      </c>
      <c r="F16" t="s">
        <v>79</v>
      </c>
      <c r="G16" t="s">
        <v>54</v>
      </c>
      <c r="H16" t="s">
        <v>49</v>
      </c>
      <c r="I16" s="2">
        <v>45871</v>
      </c>
      <c r="J16" s="2">
        <f ca="1">IFERROR(IF(DATEDIF(C16,TODAY(),"Y")&gt;=1,DATE(YEAR(I16),MONTH(I16)+6,DAY(I16)),DATE(YEAR(I16),MONTH(I16)+3,DAY(I16))),"NO")</f>
        <v>46055</v>
      </c>
      <c r="K16" t="s">
        <v>42</v>
      </c>
      <c r="L16" t="s">
        <v>43</v>
      </c>
      <c r="M16" t="s">
        <v>44</v>
      </c>
      <c r="N16" t="s">
        <v>40</v>
      </c>
      <c r="P16" t="s">
        <v>54</v>
      </c>
      <c r="R16" t="s">
        <v>40</v>
      </c>
      <c r="T16" t="s">
        <v>40</v>
      </c>
      <c r="U16" t="s">
        <v>44</v>
      </c>
      <c r="V16" t="s">
        <v>44</v>
      </c>
      <c r="W16" t="s">
        <v>45</v>
      </c>
      <c r="AK16" t="s">
        <v>250</v>
      </c>
    </row>
    <row r="17" spans="1:37" x14ac:dyDescent="0.25">
      <c r="A17">
        <v>1000247351.33333</v>
      </c>
      <c r="B17" t="s">
        <v>251</v>
      </c>
      <c r="C17" s="1">
        <v>43692</v>
      </c>
      <c r="D17" t="str">
        <f ca="1">DATEDIF(C17,TODAY(),"Y") &amp; " año" &amp; IF(DATEDIF(C17,TODAY(),"Y")=1,"","s")&amp; " " &amp; DATEDIF(C17,TODAY(),"YM") &amp; " mes"&amp; IF(DATEDIF(C17,TODAY(),"YM")=1,"","es")</f>
        <v>6 años 2 meses</v>
      </c>
      <c r="E17" t="s">
        <v>97</v>
      </c>
      <c r="F17" t="s">
        <v>53</v>
      </c>
      <c r="G17" t="s">
        <v>40</v>
      </c>
      <c r="H17" t="s">
        <v>41</v>
      </c>
      <c r="I17" s="2">
        <v>45938</v>
      </c>
      <c r="J17" s="2">
        <f ca="1">IFERROR(IF(DATEDIF(C17,TODAY(),"Y")&gt;=1,DATE(YEAR(I17),MONTH(I17)+6,DAY(I17)),DATE(YEAR(I17),MONTH(I17)+3,DAY(I17))),"NO")</f>
        <v>46120</v>
      </c>
      <c r="K17" t="s">
        <v>42</v>
      </c>
      <c r="L17" t="s">
        <v>43</v>
      </c>
      <c r="M17" t="s">
        <v>44</v>
      </c>
      <c r="N17" s="2">
        <v>45896</v>
      </c>
      <c r="O17" s="2">
        <f t="shared" ref="O17:O29" si="3">IFERROR(DATE(YEAR(N17)+1,MONTH(N17),DAY(N17)),"")</f>
        <v>46261</v>
      </c>
      <c r="P17" t="s">
        <v>59</v>
      </c>
      <c r="Q17" t="s">
        <v>44</v>
      </c>
      <c r="R17" t="s">
        <v>98</v>
      </c>
      <c r="S17" t="str">
        <f>IFERROR(DATE(YEAR(R17),MONTH(R17)+6,DAY(R17)),"")</f>
        <v/>
      </c>
      <c r="T17" t="s">
        <v>40</v>
      </c>
      <c r="U17" t="s">
        <v>45</v>
      </c>
      <c r="V17" t="s">
        <v>44</v>
      </c>
      <c r="W17" t="s">
        <v>45</v>
      </c>
      <c r="AA17" t="s">
        <v>44</v>
      </c>
      <c r="AK17" t="s">
        <v>252</v>
      </c>
    </row>
    <row r="18" spans="1:37" x14ac:dyDescent="0.25">
      <c r="A18">
        <v>98215458</v>
      </c>
      <c r="B18" t="s">
        <v>253</v>
      </c>
      <c r="C18" s="1">
        <v>43849</v>
      </c>
      <c r="D18" t="str">
        <f ca="1">DATEDIF(C18,TODAY(),"Y") &amp; " año" &amp; IF(DATEDIF(C18,TODAY(),"Y")=1,"","s")&amp; " " &amp; DATEDIF(C18,TODAY(),"YM") &amp; " mes"&amp; IF(DATEDIF(C18,TODAY(),"YM")=1,"","es")</f>
        <v>5 años 9 meses</v>
      </c>
      <c r="E18" t="s">
        <v>101</v>
      </c>
      <c r="F18" t="s">
        <v>53</v>
      </c>
      <c r="G18" t="s">
        <v>40</v>
      </c>
      <c r="H18" t="s">
        <v>41</v>
      </c>
      <c r="I18" s="2">
        <v>45916</v>
      </c>
      <c r="J18" s="2">
        <f ca="1">IFERROR(IF(DATEDIF(C18,TODAY(),"Y")&gt;=1,DATE(YEAR(I18),MONTH(I18)+6,DAY(I18)),DATE(YEAR(I18),MONTH(I18)+3,DAY(I18))),"NO")</f>
        <v>46097</v>
      </c>
      <c r="K18" t="s">
        <v>42</v>
      </c>
      <c r="L18" t="s">
        <v>43</v>
      </c>
      <c r="M18" t="s">
        <v>44</v>
      </c>
      <c r="N18" t="s">
        <v>40</v>
      </c>
      <c r="O18" t="str">
        <f t="shared" si="3"/>
        <v/>
      </c>
      <c r="P18" t="s">
        <v>59</v>
      </c>
      <c r="Q18" t="str">
        <f t="shared" ref="Q18:Q23" si="4">IFERROR(DATE(YEAR(P18),MONTH(P18)+6,DAY(P18)),"")</f>
        <v/>
      </c>
      <c r="R18" t="s">
        <v>98</v>
      </c>
      <c r="S18" t="str">
        <f>IFERROR(DATE(YEAR(R18),MONTH(R18)+6,DAY(R18)),"")</f>
        <v/>
      </c>
      <c r="T18" t="s">
        <v>40</v>
      </c>
      <c r="U18" t="s">
        <v>40</v>
      </c>
      <c r="V18" t="s">
        <v>44</v>
      </c>
      <c r="W18" t="s">
        <v>45</v>
      </c>
      <c r="AA18" t="s">
        <v>44</v>
      </c>
      <c r="AK18" t="s">
        <v>254</v>
      </c>
    </row>
    <row r="19" spans="1:37" x14ac:dyDescent="0.25">
      <c r="A19">
        <v>98215471</v>
      </c>
      <c r="B19" t="s">
        <v>255</v>
      </c>
      <c r="C19" s="1">
        <v>42201</v>
      </c>
      <c r="D19" t="str">
        <f ca="1">DATEDIF(C19,TODAY(),"Y") &amp; " año" &amp; IF(DATEDIF(C19,TODAY(),"Y")=1,"","s")&amp; " " &amp; DATEDIF(C19,TODAY(),"YM") &amp; " mes"&amp; IF(DATEDIF(C19,TODAY(),"YM")=1,"","es")</f>
        <v>10 años 3 meses</v>
      </c>
      <c r="E19" t="s">
        <v>40</v>
      </c>
      <c r="F19" t="s">
        <v>79</v>
      </c>
      <c r="G19" t="s">
        <v>54</v>
      </c>
      <c r="H19" t="s">
        <v>41</v>
      </c>
      <c r="I19" s="2">
        <v>45869</v>
      </c>
      <c r="J19" s="2">
        <f ca="1">IFERROR(IF(DATEDIF(C19,TODAY(),"Y")&gt;=1,DATE(YEAR(I19),MONTH(I19)+6,DAY(I19)),DATE(YEAR(I19),MONTH(I19)+3,DAY(I19))),"NO")</f>
        <v>46053</v>
      </c>
      <c r="K19" t="s">
        <v>42</v>
      </c>
      <c r="L19" t="s">
        <v>43</v>
      </c>
      <c r="M19" t="s">
        <v>44</v>
      </c>
      <c r="N19" s="2">
        <v>45902</v>
      </c>
      <c r="O19" s="2">
        <f t="shared" si="3"/>
        <v>46267</v>
      </c>
      <c r="P19" s="2">
        <v>45902</v>
      </c>
      <c r="Q19" s="2">
        <f t="shared" si="4"/>
        <v>46083</v>
      </c>
      <c r="R19" t="s">
        <v>40</v>
      </c>
      <c r="T19" t="s">
        <v>40</v>
      </c>
      <c r="U19" t="s">
        <v>44</v>
      </c>
      <c r="V19" t="s">
        <v>44</v>
      </c>
      <c r="W19" s="2">
        <v>45923</v>
      </c>
      <c r="AA19" t="s">
        <v>44</v>
      </c>
      <c r="AK19" t="s">
        <v>256</v>
      </c>
    </row>
    <row r="20" spans="1:37" x14ac:dyDescent="0.25">
      <c r="A20">
        <v>98215484</v>
      </c>
      <c r="B20" t="s">
        <v>257</v>
      </c>
      <c r="C20" s="1">
        <v>45244</v>
      </c>
      <c r="D20" t="str">
        <f ca="1">DATEDIF(C20,TODAY(),"Y") &amp; " año" &amp; IF(DATEDIF(C20,TODAY(),"Y")=1,"","s")&amp; " " &amp; DATEDIF(C20,TODAY(),"YM") &amp; " mes"&amp; IF(DATEDIF(C20,TODAY(),"YM")=1,"","es")</f>
        <v>1 año 11 meses</v>
      </c>
      <c r="E20" t="s">
        <v>106</v>
      </c>
      <c r="F20" t="s">
        <v>53</v>
      </c>
      <c r="G20" t="s">
        <v>107</v>
      </c>
      <c r="H20" t="s">
        <v>41</v>
      </c>
      <c r="I20" s="2">
        <v>45863</v>
      </c>
      <c r="J20" s="2">
        <f ca="1">IFERROR(IF(DATEDIF(C20,TODAY(),"Y")&gt;=1,DATE(YEAR(I20),MONTH(I20)+6,DAY(I20)),DATE(YEAR(I20),MONTH(I20)+3,DAY(I20))),"NO")</f>
        <v>46047</v>
      </c>
      <c r="K20" t="s">
        <v>42</v>
      </c>
      <c r="L20" t="s">
        <v>43</v>
      </c>
      <c r="M20" t="s">
        <v>44</v>
      </c>
      <c r="N20" t="s">
        <v>108</v>
      </c>
      <c r="O20" t="str">
        <f t="shared" si="3"/>
        <v/>
      </c>
      <c r="P20" t="s">
        <v>59</v>
      </c>
      <c r="Q20" t="str">
        <f t="shared" si="4"/>
        <v/>
      </c>
      <c r="R20" t="s">
        <v>98</v>
      </c>
      <c r="S20" t="str">
        <f>IFERROR(DATE(YEAR(R20),MONTH(R20)+6,DAY(R20)),"")</f>
        <v/>
      </c>
      <c r="T20" t="s">
        <v>40</v>
      </c>
      <c r="U20" t="s">
        <v>45</v>
      </c>
      <c r="V20" t="s">
        <v>44</v>
      </c>
      <c r="W20" t="s">
        <v>40</v>
      </c>
      <c r="AA20" t="s">
        <v>44</v>
      </c>
      <c r="AK20" t="s">
        <v>258</v>
      </c>
    </row>
    <row r="21" spans="1:37" x14ac:dyDescent="0.25">
      <c r="A21">
        <v>98215497</v>
      </c>
      <c r="B21" t="s">
        <v>259</v>
      </c>
      <c r="C21" s="1">
        <v>43788</v>
      </c>
      <c r="D21" t="str">
        <f ca="1">DATEDIF(C21,TODAY(),"Y") &amp; " año" &amp; IF(DATEDIF(C21,TODAY(),"Y")=1,"","s")&amp; " " &amp; DATEDIF(C21,TODAY(),"YM") &amp; " mes"&amp; IF(DATEDIF(C21,TODAY(),"YM")=1,"","es")</f>
        <v>5 años 11 meses</v>
      </c>
      <c r="E21" t="s">
        <v>111</v>
      </c>
      <c r="F21" t="s">
        <v>53</v>
      </c>
      <c r="G21" t="s">
        <v>54</v>
      </c>
      <c r="H21" t="s">
        <v>41</v>
      </c>
      <c r="I21" s="2">
        <v>45805</v>
      </c>
      <c r="J21" s="2">
        <f ca="1">IFERROR(IF(DATEDIF(C21,TODAY(),"Y")&gt;=1,DATE(YEAR(I21),MONTH(I21)+6,DAY(I21)),DATE(YEAR(I21),MONTH(I21)+3,DAY(I21))),"NO")</f>
        <v>45989</v>
      </c>
      <c r="K21" t="s">
        <v>42</v>
      </c>
      <c r="L21" t="s">
        <v>43</v>
      </c>
      <c r="M21" t="s">
        <v>44</v>
      </c>
      <c r="N21" s="2">
        <v>45779</v>
      </c>
      <c r="O21" s="2">
        <f t="shared" si="3"/>
        <v>46144</v>
      </c>
      <c r="P21" s="2">
        <v>45779</v>
      </c>
      <c r="Q21" s="2">
        <f t="shared" si="4"/>
        <v>45963</v>
      </c>
      <c r="R21" s="2">
        <v>45883</v>
      </c>
      <c r="S21" s="2">
        <f>IFERROR(DATE(YEAR(R21),MONTH(R21)+6,DAY(R21)),"")</f>
        <v>46067</v>
      </c>
      <c r="T21" t="s">
        <v>40</v>
      </c>
      <c r="U21" t="s">
        <v>44</v>
      </c>
      <c r="V21" t="s">
        <v>44</v>
      </c>
      <c r="W21" t="s">
        <v>45</v>
      </c>
      <c r="AA21" t="s">
        <v>44</v>
      </c>
      <c r="AK21" t="s">
        <v>260</v>
      </c>
    </row>
    <row r="22" spans="1:37" x14ac:dyDescent="0.25">
      <c r="A22">
        <v>98215510</v>
      </c>
      <c r="B22" t="s">
        <v>261</v>
      </c>
      <c r="C22" s="1">
        <v>45531</v>
      </c>
      <c r="D22" t="str">
        <f ca="1">DATEDIF(C22,TODAY(),"Y") &amp; " año" &amp; IF(DATEDIF(C22,TODAY(),"Y")=1,"","s")&amp; " " &amp; DATEDIF(C22,TODAY(),"YM") &amp; " mes"&amp; IF(DATEDIF(C22,TODAY(),"YM")=1,"","es")</f>
        <v>1 año 2 meses</v>
      </c>
      <c r="E22" t="s">
        <v>114</v>
      </c>
      <c r="F22" t="s">
        <v>53</v>
      </c>
      <c r="G22" t="s">
        <v>40</v>
      </c>
      <c r="H22" t="s">
        <v>49</v>
      </c>
      <c r="I22" s="2">
        <v>45924</v>
      </c>
      <c r="J22" s="2">
        <f ca="1">IFERROR(IF(DATEDIF(C22,TODAY(),"Y")&gt;=1,DATE(YEAR(I22),MONTH(I22)+6,DAY(I22)),DATE(YEAR(I22),MONTH(I22)+3,DAY(I22))),"NO")</f>
        <v>46105</v>
      </c>
      <c r="K22" t="s">
        <v>42</v>
      </c>
      <c r="L22" t="s">
        <v>43</v>
      </c>
      <c r="M22" t="s">
        <v>50</v>
      </c>
      <c r="N22" s="2">
        <v>45775</v>
      </c>
      <c r="O22" s="2">
        <f t="shared" si="3"/>
        <v>46140</v>
      </c>
      <c r="P22" s="2">
        <v>45775</v>
      </c>
      <c r="Q22" s="2">
        <f t="shared" si="4"/>
        <v>45958</v>
      </c>
      <c r="R22" s="2">
        <v>45826</v>
      </c>
      <c r="S22" s="2">
        <f>IFERROR(DATE(YEAR(R22),MONTH(R22)+6,DAY(R22)),"")</f>
        <v>46009</v>
      </c>
      <c r="T22" s="2">
        <v>45803</v>
      </c>
      <c r="U22" t="s">
        <v>44</v>
      </c>
      <c r="V22" t="s">
        <v>44</v>
      </c>
      <c r="W22" t="s">
        <v>45</v>
      </c>
      <c r="X22" t="s">
        <v>45</v>
      </c>
      <c r="AA22" t="s">
        <v>44</v>
      </c>
      <c r="AK22" t="s">
        <v>262</v>
      </c>
    </row>
    <row r="23" spans="1:37" x14ac:dyDescent="0.25">
      <c r="A23">
        <v>98215523</v>
      </c>
      <c r="B23" t="s">
        <v>263</v>
      </c>
      <c r="C23" s="1">
        <v>43430</v>
      </c>
      <c r="D23" t="str">
        <f ca="1">DATEDIF(C23,TODAY(),"Y") &amp; " año" &amp; IF(DATEDIF(C23,TODAY(),"Y")=1,"","s")&amp; " " &amp; DATEDIF(C23,TODAY(),"YM") &amp; " mes"&amp; IF(DATEDIF(C23,TODAY(),"YM")=1,"","es")</f>
        <v>6 años 11 meses</v>
      </c>
      <c r="E23" t="s">
        <v>117</v>
      </c>
      <c r="F23" t="s">
        <v>53</v>
      </c>
      <c r="G23" t="s">
        <v>40</v>
      </c>
      <c r="H23" t="s">
        <v>49</v>
      </c>
      <c r="I23" s="2">
        <v>45793</v>
      </c>
      <c r="J23" s="2">
        <f ca="1">IFERROR(IF(DATEDIF(C23,TODAY(),"Y")&gt;=1,DATE(YEAR(I23),MONTH(I23)+6,DAY(I23)),DATE(YEAR(I23),MONTH(I23)+3,DAY(I23))),"NO")</f>
        <v>45977</v>
      </c>
      <c r="K23" t="s">
        <v>42</v>
      </c>
      <c r="L23" t="s">
        <v>43</v>
      </c>
      <c r="M23" t="s">
        <v>44</v>
      </c>
      <c r="N23" s="2">
        <v>45878</v>
      </c>
      <c r="O23" s="2">
        <f t="shared" si="3"/>
        <v>46243</v>
      </c>
      <c r="P23" s="2">
        <v>45878</v>
      </c>
      <c r="Q23" s="2">
        <f t="shared" si="4"/>
        <v>46062</v>
      </c>
      <c r="R23" s="2">
        <v>45728</v>
      </c>
      <c r="S23" s="2">
        <f>IFERROR(DATE(YEAR(R23),MONTH(R23)+6,DAY(R23)),"")</f>
        <v>45912</v>
      </c>
      <c r="T23" s="2">
        <v>45793</v>
      </c>
      <c r="U23" t="s">
        <v>44</v>
      </c>
      <c r="V23" t="s">
        <v>44</v>
      </c>
      <c r="W23" t="s">
        <v>45</v>
      </c>
      <c r="X23" t="s">
        <v>45</v>
      </c>
      <c r="AA23" t="s">
        <v>44</v>
      </c>
      <c r="AK23" t="s">
        <v>264</v>
      </c>
    </row>
    <row r="24" spans="1:37" x14ac:dyDescent="0.25">
      <c r="A24">
        <v>98215536</v>
      </c>
      <c r="B24" t="s">
        <v>265</v>
      </c>
      <c r="C24" s="1">
        <v>43980</v>
      </c>
      <c r="D24" t="str">
        <f ca="1">DATEDIF(C24,TODAY(),"Y") &amp; " año" &amp; IF(DATEDIF(C24,TODAY(),"Y")=1,"","s")&amp; " " &amp; DATEDIF(C24,TODAY(),"YM") &amp; " mes"&amp; IF(DATEDIF(C24,TODAY(),"YM")=1,"","es")</f>
        <v>5 años 5 meses</v>
      </c>
      <c r="E24" t="s">
        <v>48</v>
      </c>
      <c r="F24" t="s">
        <v>53</v>
      </c>
      <c r="G24" t="s">
        <v>40</v>
      </c>
      <c r="H24" t="s">
        <v>41</v>
      </c>
      <c r="I24" s="2">
        <v>45924</v>
      </c>
      <c r="J24" s="2">
        <f ca="1">IFERROR(IF(DATEDIF(C24,TODAY(),"Y")&gt;=1,DATE(YEAR(I24),MONTH(I24)+6,DAY(I24)),DATE(YEAR(I24),MONTH(I24)+3,DAY(I24))),"NO")</f>
        <v>46105</v>
      </c>
      <c r="K24" t="s">
        <v>42</v>
      </c>
      <c r="L24" t="s">
        <v>43</v>
      </c>
      <c r="M24" t="s">
        <v>44</v>
      </c>
      <c r="N24" s="2">
        <v>45818</v>
      </c>
      <c r="O24" s="2">
        <f t="shared" si="3"/>
        <v>46183</v>
      </c>
      <c r="P24" t="s">
        <v>59</v>
      </c>
      <c r="Q24" t="s">
        <v>44</v>
      </c>
      <c r="R24" t="s">
        <v>98</v>
      </c>
      <c r="S24" t="s">
        <v>44</v>
      </c>
      <c r="T24" t="s">
        <v>40</v>
      </c>
      <c r="U24" t="s">
        <v>45</v>
      </c>
      <c r="V24" t="s">
        <v>44</v>
      </c>
      <c r="W24" t="s">
        <v>45</v>
      </c>
      <c r="AA24" t="s">
        <v>44</v>
      </c>
      <c r="AK24" t="s">
        <v>266</v>
      </c>
    </row>
    <row r="25" spans="1:37" x14ac:dyDescent="0.25">
      <c r="A25">
        <v>98215549</v>
      </c>
      <c r="B25" t="s">
        <v>267</v>
      </c>
      <c r="C25" s="1">
        <v>42888</v>
      </c>
      <c r="D25" t="str">
        <f ca="1">DATEDIF(C25,TODAY(),"Y") &amp; " año" &amp; IF(DATEDIF(C25,TODAY(),"Y")=1,"","s")&amp; " " &amp; DATEDIF(C25,TODAY(),"YM") &amp; " mes"&amp; IF(DATEDIF(C25,TODAY(),"YM")=1,"","es")</f>
        <v>8 años 5 meses</v>
      </c>
      <c r="E25" t="s">
        <v>40</v>
      </c>
      <c r="F25" t="s">
        <v>79</v>
      </c>
      <c r="G25" t="s">
        <v>40</v>
      </c>
      <c r="H25" t="s">
        <v>49</v>
      </c>
      <c r="I25" s="2">
        <v>45744</v>
      </c>
      <c r="J25" s="2">
        <f ca="1">IFERROR(IF(DATEDIF(C25,TODAY(),"Y")&gt;=1,DATE(YEAR(I25),MONTH(I25)+6,DAY(I25)),DATE(YEAR(I25),MONTH(I25)+3,DAY(I25))),"NO")</f>
        <v>45928</v>
      </c>
      <c r="K25" t="s">
        <v>42</v>
      </c>
      <c r="L25" t="s">
        <v>43</v>
      </c>
      <c r="M25" t="s">
        <v>122</v>
      </c>
      <c r="N25" s="2">
        <v>45744</v>
      </c>
      <c r="O25" s="2">
        <f t="shared" si="3"/>
        <v>46109</v>
      </c>
      <c r="P25" s="2">
        <v>45744</v>
      </c>
      <c r="Q25" s="2">
        <f>IFERROR(DATE(YEAR(P25),MONTH(P25)+6,DAY(P25)),"")</f>
        <v>45928</v>
      </c>
      <c r="R25" s="2">
        <v>45744</v>
      </c>
      <c r="S25" s="2">
        <f>IFERROR(DATE(YEAR(R25),MONTH(R25)+6,DAY(R25)),"")</f>
        <v>45928</v>
      </c>
      <c r="T25" s="2">
        <v>45744</v>
      </c>
      <c r="U25" t="s">
        <v>44</v>
      </c>
      <c r="V25" t="s">
        <v>44</v>
      </c>
      <c r="W25" t="s">
        <v>45</v>
      </c>
      <c r="X25" t="s">
        <v>45</v>
      </c>
      <c r="AA25" t="s">
        <v>44</v>
      </c>
      <c r="AK25" t="s">
        <v>268</v>
      </c>
    </row>
    <row r="26" spans="1:37" x14ac:dyDescent="0.25">
      <c r="A26">
        <v>98215562</v>
      </c>
      <c r="B26" t="s">
        <v>269</v>
      </c>
      <c r="C26" s="1">
        <v>45777</v>
      </c>
      <c r="D26" t="str">
        <f ca="1">DATEDIF(C26,TODAY(),"Y") &amp; " año" &amp; IF(DATEDIF(C26,TODAY(),"Y")=1,"","s")&amp; " " &amp; DATEDIF(C26,TODAY(),"YM") &amp; " mes"&amp; IF(DATEDIF(C26,TODAY(),"YM")=1,"","es")</f>
        <v>0 años 6 meses</v>
      </c>
      <c r="E26" t="s">
        <v>125</v>
      </c>
      <c r="F26" t="s">
        <v>79</v>
      </c>
      <c r="G26" t="s">
        <v>40</v>
      </c>
      <c r="H26" t="s">
        <v>49</v>
      </c>
      <c r="I26" s="2">
        <v>45931</v>
      </c>
      <c r="J26" s="2">
        <f ca="1">IFERROR(IF(DATEDIF(C26,TODAY(),"Y")&gt;=1,DATE(YEAR(I26),MONTH(I26)+6,DAY(I26)),DATE(YEAR(I26),MONTH(I26)+3,DAY(I26))),"NO")</f>
        <v>46023</v>
      </c>
      <c r="K26" t="s">
        <v>42</v>
      </c>
      <c r="L26" t="s">
        <v>43</v>
      </c>
      <c r="M26" t="s">
        <v>50</v>
      </c>
      <c r="N26" s="2">
        <v>45946</v>
      </c>
      <c r="O26" s="2">
        <f t="shared" si="3"/>
        <v>46311</v>
      </c>
      <c r="P26" s="2">
        <v>45946</v>
      </c>
      <c r="Q26" s="2">
        <f>IFERROR(DATE(YEAR(P26),MONTH(P26)+6,DAY(P26)),"")</f>
        <v>46128</v>
      </c>
      <c r="R26" s="2">
        <v>45931</v>
      </c>
      <c r="S26" s="2">
        <f>IFERROR(DATE(YEAR(R26),MONTH(R26)+6,DAY(R26)),"")</f>
        <v>46113</v>
      </c>
      <c r="T26" s="2">
        <v>45719</v>
      </c>
      <c r="U26" t="s">
        <v>44</v>
      </c>
      <c r="V26" t="s">
        <v>44</v>
      </c>
      <c r="W26" t="s">
        <v>45</v>
      </c>
      <c r="X26" t="s">
        <v>40</v>
      </c>
      <c r="AA26" t="s">
        <v>44</v>
      </c>
      <c r="AK26" t="s">
        <v>270</v>
      </c>
    </row>
    <row r="27" spans="1:37" x14ac:dyDescent="0.25">
      <c r="A27">
        <v>98215575</v>
      </c>
      <c r="B27" t="s">
        <v>271</v>
      </c>
      <c r="C27" s="1">
        <v>43273</v>
      </c>
      <c r="D27" t="str">
        <f ca="1">DATEDIF(C27,TODAY(),"Y") &amp; " año" &amp; IF(DATEDIF(C27,TODAY(),"Y")=1,"","s")&amp; " " &amp; DATEDIF(C27,TODAY(),"YM") &amp; " mes"&amp; IF(DATEDIF(C27,TODAY(),"YM")=1,"","es")</f>
        <v>7 años 4 meses</v>
      </c>
      <c r="E27" t="s">
        <v>101</v>
      </c>
      <c r="F27" t="s">
        <v>79</v>
      </c>
      <c r="G27" t="s">
        <v>40</v>
      </c>
      <c r="H27" t="s">
        <v>49</v>
      </c>
      <c r="I27" s="2">
        <v>45890</v>
      </c>
      <c r="J27" s="2">
        <f ca="1">IFERROR(IF(DATEDIF(C27,TODAY(),"Y")&gt;=1,DATE(YEAR(I27),MONTH(I27)+6,DAY(I27)),DATE(YEAR(I27),MONTH(I27)+3,DAY(I27))),"NO")</f>
        <v>46074</v>
      </c>
      <c r="K27" t="s">
        <v>42</v>
      </c>
      <c r="L27" t="s">
        <v>43</v>
      </c>
      <c r="M27" t="s">
        <v>44</v>
      </c>
      <c r="N27" s="2">
        <v>45853</v>
      </c>
      <c r="O27" s="2">
        <f t="shared" si="3"/>
        <v>46218</v>
      </c>
      <c r="P27" s="2">
        <v>45853</v>
      </c>
      <c r="Q27" s="2">
        <f>IFERROR(DATE(YEAR(P27),MONTH(P27)+6,DAY(P27)),"")</f>
        <v>46037</v>
      </c>
      <c r="R27" s="2">
        <v>45853</v>
      </c>
      <c r="S27" s="2">
        <f>IFERROR(DATE(YEAR(R27),MONTH(R27)+6,DAY(R27)),"")</f>
        <v>46037</v>
      </c>
      <c r="T27" s="2">
        <v>45670</v>
      </c>
      <c r="U27" t="s">
        <v>44</v>
      </c>
      <c r="V27" t="s">
        <v>44</v>
      </c>
      <c r="W27" t="s">
        <v>45</v>
      </c>
      <c r="X27" t="s">
        <v>40</v>
      </c>
      <c r="AA27" t="s">
        <v>44</v>
      </c>
      <c r="AK27" t="s">
        <v>272</v>
      </c>
    </row>
    <row r="28" spans="1:37" x14ac:dyDescent="0.25">
      <c r="A28">
        <v>98215588</v>
      </c>
      <c r="B28" t="s">
        <v>273</v>
      </c>
      <c r="C28" s="1">
        <v>42770</v>
      </c>
      <c r="D28" t="str">
        <f ca="1">DATEDIF(C28,TODAY(),"Y") &amp; " año" &amp; IF(DATEDIF(C28,TODAY(),"Y")=1,"","s")&amp; " " &amp; DATEDIF(C28,TODAY(),"YM") &amp; " mes"&amp; IF(DATEDIF(C28,TODAY(),"YM")=1,"","es")</f>
        <v>8 años 9 meses</v>
      </c>
      <c r="E28" t="s">
        <v>40</v>
      </c>
      <c r="F28" t="s">
        <v>39</v>
      </c>
      <c r="G28" t="s">
        <v>54</v>
      </c>
      <c r="H28" t="s">
        <v>41</v>
      </c>
      <c r="I28" s="2">
        <v>45779</v>
      </c>
      <c r="J28" s="2">
        <f ca="1">IFERROR(IF(DATEDIF(C28,TODAY(),"Y")&gt;=1,DATE(YEAR(I28),MONTH(I28)+6,DAY(I28)),DATE(YEAR(I28),MONTH(I28)+3,DAY(I28))),"NO")</f>
        <v>45963</v>
      </c>
      <c r="K28" t="s">
        <v>42</v>
      </c>
      <c r="L28" t="s">
        <v>43</v>
      </c>
      <c r="M28" t="s">
        <v>44</v>
      </c>
      <c r="N28" s="2">
        <v>45944</v>
      </c>
      <c r="O28" s="2">
        <f t="shared" si="3"/>
        <v>46309</v>
      </c>
      <c r="P28" s="2">
        <v>45944</v>
      </c>
      <c r="Q28" s="2">
        <f>IFERROR(DATE(YEAR(P28),MONTH(P28)+6,DAY(P28)),"")</f>
        <v>46126</v>
      </c>
      <c r="R28" s="2">
        <v>45779</v>
      </c>
      <c r="S28" s="2">
        <f>IFERROR(DATE(YEAR(R28),MONTH(R28)+6,DAY(R28)),"")</f>
        <v>45963</v>
      </c>
      <c r="T28" s="2">
        <v>45779</v>
      </c>
      <c r="U28" t="s">
        <v>44</v>
      </c>
      <c r="V28" t="s">
        <v>44</v>
      </c>
      <c r="W28" t="s">
        <v>45</v>
      </c>
      <c r="AA28" t="s">
        <v>44</v>
      </c>
      <c r="AK28" t="s">
        <v>274</v>
      </c>
    </row>
    <row r="29" spans="1:37" x14ac:dyDescent="0.25">
      <c r="A29">
        <v>98215601</v>
      </c>
      <c r="B29" t="s">
        <v>275</v>
      </c>
      <c r="C29" s="1">
        <v>42719</v>
      </c>
      <c r="D29" t="str">
        <f ca="1">DATEDIF(C29,TODAY(),"Y") &amp; " año" &amp; IF(DATEDIF(C29,TODAY(),"Y")=1,"","s")&amp; " " &amp; DATEDIF(C29,TODAY(),"YM") &amp; " mes"&amp; IF(DATEDIF(C29,TODAY(),"YM")=1,"","es")</f>
        <v>8 años 10 meses</v>
      </c>
      <c r="E29" t="s">
        <v>132</v>
      </c>
      <c r="F29" t="s">
        <v>133</v>
      </c>
      <c r="G29" t="s">
        <v>40</v>
      </c>
      <c r="H29" t="s">
        <v>49</v>
      </c>
      <c r="I29" s="2">
        <v>45867</v>
      </c>
      <c r="J29" s="2">
        <f ca="1">IFERROR(IF(DATEDIF(C29,TODAY(),"Y")&gt;=1,DATE(YEAR(I29),MONTH(I29)+6,DAY(I29)),DATE(YEAR(I29),MONTH(I29)+3,DAY(I29))),"NO")</f>
        <v>46051</v>
      </c>
      <c r="K29" t="s">
        <v>42</v>
      </c>
      <c r="L29" t="s">
        <v>43</v>
      </c>
      <c r="M29" t="s">
        <v>44</v>
      </c>
      <c r="N29" s="2">
        <v>45881</v>
      </c>
      <c r="O29" s="2">
        <f t="shared" si="3"/>
        <v>46246</v>
      </c>
      <c r="P29" s="2">
        <v>45881</v>
      </c>
      <c r="Q29" s="2">
        <f>IFERROR(DATE(YEAR(P29),MONTH(P29)+6,DAY(P29)),"")</f>
        <v>46065</v>
      </c>
      <c r="R29" s="2">
        <v>45944</v>
      </c>
      <c r="S29" s="2">
        <f>IFERROR(DATE(YEAR(R29),MONTH(R29)+6,DAY(R29)),"")</f>
        <v>46126</v>
      </c>
      <c r="T29" s="2">
        <v>45720</v>
      </c>
      <c r="U29" t="s">
        <v>44</v>
      </c>
      <c r="V29" t="s">
        <v>44</v>
      </c>
      <c r="W29" t="s">
        <v>45</v>
      </c>
      <c r="X29" t="s">
        <v>45</v>
      </c>
      <c r="Y29" t="s">
        <v>40</v>
      </c>
      <c r="AA29" t="s">
        <v>44</v>
      </c>
      <c r="AK29" t="s">
        <v>276</v>
      </c>
    </row>
    <row r="30" spans="1:37" x14ac:dyDescent="0.25">
      <c r="C30" s="1"/>
    </row>
    <row r="31" spans="1:37" x14ac:dyDescent="0.25">
      <c r="C3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1"/>
  <sheetViews>
    <sheetView workbookViewId="0">
      <selection activeCell="C38" sqref="C38"/>
    </sheetView>
  </sheetViews>
  <sheetFormatPr baseColWidth="10"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3" t="s">
        <v>36</v>
      </c>
    </row>
    <row r="2" spans="1:37" x14ac:dyDescent="0.25">
      <c r="A2">
        <v>98215614</v>
      </c>
      <c r="B2" t="s">
        <v>277</v>
      </c>
      <c r="C2" s="1">
        <v>43114</v>
      </c>
      <c r="D2" t="str">
        <f t="shared" ref="D2:D29" ca="1" si="0">DATEDIF(C2,TODAY(),"Y") &amp; " año" &amp; IF(DATEDIF(C2,TODAY(),"Y")=1,"","s")&amp; " " &amp; DATEDIF(C2,TODAY(),"YM") &amp; " mes"&amp; IF(DATEDIF(C2,TODAY(),"YM")=1,"","es")</f>
        <v>7 años 9 meses</v>
      </c>
      <c r="E2" t="s">
        <v>38</v>
      </c>
      <c r="F2" t="s">
        <v>39</v>
      </c>
      <c r="G2" t="s">
        <v>40</v>
      </c>
      <c r="H2" t="s">
        <v>41</v>
      </c>
      <c r="I2" s="2">
        <v>45925</v>
      </c>
      <c r="J2" s="2">
        <f t="shared" ref="J2:J29" ca="1" si="1">IFERROR(IF(DATEDIF(C2,TODAY(),"Y")&gt;=1,DATE(YEAR(I2),MONTH(I2)+6,DAY(I2)),DATE(YEAR(I2),MONTH(I2)+3,DAY(I2))),"NO")</f>
        <v>46106</v>
      </c>
      <c r="K2" t="s">
        <v>42</v>
      </c>
      <c r="L2" t="s">
        <v>43</v>
      </c>
      <c r="M2" t="s">
        <v>44</v>
      </c>
      <c r="N2" s="2">
        <v>45895</v>
      </c>
      <c r="O2" s="2">
        <f>IFERROR(DATE(YEAR(N2)+1,MONTH(N2),DAY(N2)),"")</f>
        <v>46260</v>
      </c>
      <c r="P2" s="2">
        <v>45895</v>
      </c>
      <c r="Q2" s="2">
        <f>IFERROR(DATE(YEAR(P2),MONTH(P2)+6,DAY(P2)),"")</f>
        <v>46079</v>
      </c>
      <c r="R2" s="2">
        <v>45777</v>
      </c>
      <c r="S2" s="2">
        <f>IFERROR(DATE(YEAR(R2),MONTH(R2)+6,DAY(R2)),"")</f>
        <v>45960</v>
      </c>
      <c r="T2" s="2">
        <v>45777</v>
      </c>
      <c r="U2" t="s">
        <v>44</v>
      </c>
      <c r="V2" t="s">
        <v>44</v>
      </c>
      <c r="W2" t="s">
        <v>45</v>
      </c>
      <c r="X2" t="s">
        <v>40</v>
      </c>
      <c r="AA2" t="s">
        <v>44</v>
      </c>
      <c r="AK2" t="s">
        <v>278</v>
      </c>
    </row>
    <row r="3" spans="1:37" x14ac:dyDescent="0.25">
      <c r="A3">
        <v>98215627</v>
      </c>
      <c r="B3" t="s">
        <v>279</v>
      </c>
      <c r="C3" s="1">
        <v>42207</v>
      </c>
      <c r="D3" t="str">
        <f t="shared" ca="1" si="0"/>
        <v>10 años 3 meses</v>
      </c>
      <c r="E3" t="s">
        <v>48</v>
      </c>
      <c r="F3" t="s">
        <v>39</v>
      </c>
      <c r="G3" t="s">
        <v>40</v>
      </c>
      <c r="H3" t="s">
        <v>49</v>
      </c>
      <c r="I3" s="2">
        <v>45925</v>
      </c>
      <c r="J3" s="2">
        <f t="shared" ca="1" si="1"/>
        <v>46106</v>
      </c>
      <c r="K3" t="s">
        <v>42</v>
      </c>
      <c r="L3" t="s">
        <v>43</v>
      </c>
      <c r="M3" t="s">
        <v>50</v>
      </c>
      <c r="N3" s="2">
        <v>45929</v>
      </c>
      <c r="O3" s="2">
        <f>IFERROR(DATE(YEAR(N3)+1,MONTH(N3),DAY(N3)),"")</f>
        <v>46294</v>
      </c>
      <c r="P3" s="2">
        <v>45929</v>
      </c>
      <c r="Q3" s="2">
        <f>IFERROR(DATE(YEAR(P3),MONTH(P3)+6,DAY(P3)),"")</f>
        <v>46110</v>
      </c>
      <c r="R3" s="2">
        <v>45925</v>
      </c>
      <c r="S3" s="2">
        <f>IFERROR(DATE(YEAR(R3),MONTH(R3)+6,DAY(R3)),"")</f>
        <v>46106</v>
      </c>
      <c r="T3" s="2">
        <v>45580</v>
      </c>
      <c r="U3" t="s">
        <v>44</v>
      </c>
      <c r="V3" t="s">
        <v>44</v>
      </c>
      <c r="W3" t="s">
        <v>45</v>
      </c>
      <c r="X3" t="s">
        <v>45</v>
      </c>
      <c r="Y3" t="s">
        <v>40</v>
      </c>
      <c r="AA3" t="s">
        <v>44</v>
      </c>
      <c r="AK3" t="s">
        <v>280</v>
      </c>
    </row>
    <row r="4" spans="1:37" x14ac:dyDescent="0.25">
      <c r="A4">
        <v>98215640</v>
      </c>
      <c r="B4" t="s">
        <v>281</v>
      </c>
      <c r="C4" s="1">
        <v>42714</v>
      </c>
      <c r="D4" t="str">
        <f t="shared" ca="1" si="0"/>
        <v>8 años 10 meses</v>
      </c>
      <c r="E4" t="s">
        <v>40</v>
      </c>
      <c r="F4" t="s">
        <v>53</v>
      </c>
      <c r="G4" t="s">
        <v>54</v>
      </c>
      <c r="H4" t="s">
        <v>49</v>
      </c>
      <c r="I4" s="2">
        <v>45805</v>
      </c>
      <c r="J4" s="2">
        <f t="shared" ca="1" si="1"/>
        <v>45989</v>
      </c>
      <c r="K4" t="s">
        <v>42</v>
      </c>
      <c r="L4" t="s">
        <v>43</v>
      </c>
      <c r="M4" t="s">
        <v>55</v>
      </c>
      <c r="N4" s="2">
        <v>45901</v>
      </c>
      <c r="O4" s="2">
        <f>IFERROR(DATE(YEAR(N4)+1,MONTH(N4),DAY(N4)),"")</f>
        <v>46266</v>
      </c>
      <c r="P4" s="2">
        <v>45901</v>
      </c>
      <c r="Q4" s="2">
        <f>IFERROR(DATE(YEAR(P4),MONTH(P4)+6,DAY(P4)),"")</f>
        <v>46082</v>
      </c>
      <c r="R4" s="2">
        <v>45717</v>
      </c>
      <c r="S4" s="2">
        <f>IFERROR(DATE(YEAR(R4),MONTH(R4)+6,DAY(R4)),"")</f>
        <v>45901</v>
      </c>
      <c r="T4" s="2">
        <v>45717</v>
      </c>
      <c r="U4" t="s">
        <v>44</v>
      </c>
      <c r="V4" t="s">
        <v>44</v>
      </c>
      <c r="W4" t="s">
        <v>45</v>
      </c>
      <c r="X4" t="s">
        <v>45</v>
      </c>
      <c r="Y4" t="s">
        <v>40</v>
      </c>
      <c r="AA4" t="s">
        <v>44</v>
      </c>
      <c r="AK4" t="s">
        <v>282</v>
      </c>
    </row>
    <row r="5" spans="1:37" x14ac:dyDescent="0.25">
      <c r="A5">
        <v>98215653</v>
      </c>
      <c r="B5" t="s">
        <v>283</v>
      </c>
      <c r="C5" s="1">
        <v>44269</v>
      </c>
      <c r="D5" t="str">
        <f t="shared" ca="1" si="0"/>
        <v>4 años 7 meses</v>
      </c>
      <c r="E5" t="s">
        <v>58</v>
      </c>
      <c r="F5" t="s">
        <v>53</v>
      </c>
      <c r="G5" t="s">
        <v>40</v>
      </c>
      <c r="H5" t="s">
        <v>41</v>
      </c>
      <c r="I5" s="2">
        <v>45875</v>
      </c>
      <c r="J5" s="2">
        <f t="shared" ca="1" si="1"/>
        <v>46059</v>
      </c>
      <c r="K5" t="s">
        <v>42</v>
      </c>
      <c r="L5" t="s">
        <v>43</v>
      </c>
      <c r="M5" t="s">
        <v>44</v>
      </c>
      <c r="N5" s="2">
        <v>45869</v>
      </c>
      <c r="O5" s="2">
        <f>IFERROR(DATE(YEAR(N5)+1,MONTH(N5),DAY(N5)),"")</f>
        <v>46234</v>
      </c>
      <c r="P5" t="s">
        <v>59</v>
      </c>
      <c r="Q5" t="s">
        <v>44</v>
      </c>
      <c r="R5" t="s">
        <v>40</v>
      </c>
      <c r="T5" t="s">
        <v>40</v>
      </c>
      <c r="U5" t="s">
        <v>44</v>
      </c>
      <c r="V5" t="s">
        <v>44</v>
      </c>
      <c r="W5" t="s">
        <v>45</v>
      </c>
      <c r="AA5" t="s">
        <v>44</v>
      </c>
      <c r="AK5" t="s">
        <v>284</v>
      </c>
    </row>
    <row r="6" spans="1:37" x14ac:dyDescent="0.25">
      <c r="A6">
        <v>98215666</v>
      </c>
      <c r="B6" t="s">
        <v>285</v>
      </c>
      <c r="C6" s="1">
        <v>44846</v>
      </c>
      <c r="D6" t="str">
        <f t="shared" ca="1" si="0"/>
        <v>3 años 0 meses</v>
      </c>
      <c r="E6" t="s">
        <v>62</v>
      </c>
      <c r="F6" t="s">
        <v>53</v>
      </c>
      <c r="G6" t="s">
        <v>54</v>
      </c>
      <c r="H6" t="s">
        <v>49</v>
      </c>
      <c r="I6" s="2">
        <v>45820</v>
      </c>
      <c r="J6" s="2">
        <f t="shared" ca="1" si="1"/>
        <v>46003</v>
      </c>
      <c r="K6" t="s">
        <v>42</v>
      </c>
      <c r="L6" t="s">
        <v>43</v>
      </c>
      <c r="M6" t="s">
        <v>44</v>
      </c>
      <c r="N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44</v>
      </c>
      <c r="V6" t="s">
        <v>44</v>
      </c>
      <c r="W6" t="s">
        <v>45</v>
      </c>
      <c r="AK6" t="s">
        <v>286</v>
      </c>
    </row>
    <row r="7" spans="1:37" x14ac:dyDescent="0.25">
      <c r="A7">
        <v>98215679</v>
      </c>
      <c r="B7" t="s">
        <v>287</v>
      </c>
      <c r="C7" s="1">
        <v>42892</v>
      </c>
      <c r="D7" t="str">
        <f t="shared" ca="1" si="0"/>
        <v>8 años 5 meses</v>
      </c>
      <c r="E7" t="s">
        <v>65</v>
      </c>
      <c r="F7" t="s">
        <v>53</v>
      </c>
      <c r="G7" t="s">
        <v>40</v>
      </c>
      <c r="H7" t="s">
        <v>49</v>
      </c>
      <c r="I7" s="2">
        <v>45758</v>
      </c>
      <c r="J7" s="2">
        <f t="shared" ca="1" si="1"/>
        <v>45941</v>
      </c>
      <c r="K7" t="s">
        <v>42</v>
      </c>
      <c r="L7" t="s">
        <v>43</v>
      </c>
      <c r="M7" t="s">
        <v>66</v>
      </c>
      <c r="N7" s="2">
        <v>45776</v>
      </c>
      <c r="O7" s="2">
        <f t="shared" ref="O7:O15" si="2">IFERROR(DATE(YEAR(N7)+1,MONTH(N7),DAY(N7)),"")</f>
        <v>46141</v>
      </c>
      <c r="P7" s="2">
        <v>45776</v>
      </c>
      <c r="Q7" s="2">
        <f t="shared" ref="Q7:Q15" si="3">IFERROR(DATE(YEAR(P7),MONTH(P7)+6,DAY(P7)),"")</f>
        <v>45959</v>
      </c>
      <c r="R7" s="2">
        <v>45916</v>
      </c>
      <c r="S7" s="2">
        <f t="shared" ref="S7:S14" si="4">IFERROR(DATE(YEAR(R7),MONTH(R7)+6,DAY(R7)),"")</f>
        <v>46097</v>
      </c>
      <c r="T7" t="s">
        <v>40</v>
      </c>
      <c r="U7" t="s">
        <v>45</v>
      </c>
      <c r="V7" t="s">
        <v>44</v>
      </c>
      <c r="W7" t="s">
        <v>45</v>
      </c>
      <c r="X7" t="s">
        <v>45</v>
      </c>
      <c r="Y7" t="s">
        <v>40</v>
      </c>
      <c r="AA7" t="s">
        <v>44</v>
      </c>
      <c r="AK7" t="s">
        <v>288</v>
      </c>
    </row>
    <row r="8" spans="1:37" x14ac:dyDescent="0.25">
      <c r="A8">
        <v>98215692</v>
      </c>
      <c r="B8" t="s">
        <v>289</v>
      </c>
      <c r="C8" s="1">
        <v>45707</v>
      </c>
      <c r="D8" t="str">
        <f t="shared" ca="1" si="0"/>
        <v>0 años 8 meses</v>
      </c>
      <c r="E8" t="s">
        <v>69</v>
      </c>
      <c r="F8" t="s">
        <v>39</v>
      </c>
      <c r="G8" t="s">
        <v>40</v>
      </c>
      <c r="H8" t="s">
        <v>49</v>
      </c>
      <c r="I8" s="2">
        <v>45860</v>
      </c>
      <c r="J8" s="2">
        <f t="shared" ca="1" si="1"/>
        <v>45952</v>
      </c>
      <c r="K8" t="s">
        <v>42</v>
      </c>
      <c r="L8" t="s">
        <v>43</v>
      </c>
      <c r="M8" t="s">
        <v>44</v>
      </c>
      <c r="N8" s="2">
        <v>45635</v>
      </c>
      <c r="O8" s="2">
        <f t="shared" si="2"/>
        <v>46000</v>
      </c>
      <c r="P8" s="2">
        <v>45806</v>
      </c>
      <c r="Q8" s="2">
        <f t="shared" si="3"/>
        <v>45990</v>
      </c>
      <c r="R8" s="2">
        <v>45860</v>
      </c>
      <c r="S8" s="2">
        <f t="shared" si="4"/>
        <v>46044</v>
      </c>
      <c r="T8" s="2">
        <v>45860</v>
      </c>
      <c r="U8" t="s">
        <v>44</v>
      </c>
      <c r="V8" t="s">
        <v>44</v>
      </c>
      <c r="W8" t="s">
        <v>40</v>
      </c>
      <c r="X8" t="s">
        <v>40</v>
      </c>
      <c r="AA8" t="s">
        <v>44</v>
      </c>
      <c r="AK8" t="s">
        <v>290</v>
      </c>
    </row>
    <row r="9" spans="1:37" x14ac:dyDescent="0.25">
      <c r="A9">
        <v>98215705</v>
      </c>
      <c r="B9" t="s">
        <v>291</v>
      </c>
      <c r="C9" s="1">
        <v>42885</v>
      </c>
      <c r="D9" t="str">
        <f t="shared" ca="1" si="0"/>
        <v>8 años 5 meses</v>
      </c>
      <c r="E9" t="s">
        <v>72</v>
      </c>
      <c r="F9" t="s">
        <v>53</v>
      </c>
      <c r="G9" t="s">
        <v>40</v>
      </c>
      <c r="H9" t="s">
        <v>49</v>
      </c>
      <c r="I9" s="2">
        <v>45860</v>
      </c>
      <c r="J9" s="2">
        <f t="shared" ca="1" si="1"/>
        <v>46044</v>
      </c>
      <c r="K9" t="s">
        <v>42</v>
      </c>
      <c r="L9" t="s">
        <v>43</v>
      </c>
      <c r="M9" t="s">
        <v>66</v>
      </c>
      <c r="N9" s="2">
        <v>45932</v>
      </c>
      <c r="O9" s="2">
        <f t="shared" si="2"/>
        <v>46297</v>
      </c>
      <c r="P9" s="2">
        <v>45932</v>
      </c>
      <c r="Q9" s="2">
        <f t="shared" si="3"/>
        <v>46114</v>
      </c>
      <c r="R9" s="2">
        <v>45860</v>
      </c>
      <c r="S9" s="2">
        <f t="shared" si="4"/>
        <v>46044</v>
      </c>
      <c r="T9" s="2">
        <v>45860</v>
      </c>
      <c r="U9" t="s">
        <v>44</v>
      </c>
      <c r="V9" t="s">
        <v>44</v>
      </c>
      <c r="W9" t="s">
        <v>45</v>
      </c>
      <c r="X9" t="s">
        <v>45</v>
      </c>
      <c r="AA9" t="s">
        <v>44</v>
      </c>
      <c r="AK9" t="s">
        <v>292</v>
      </c>
    </row>
    <row r="10" spans="1:37" x14ac:dyDescent="0.25">
      <c r="A10">
        <v>98215718</v>
      </c>
      <c r="B10" t="s">
        <v>293</v>
      </c>
      <c r="C10" s="1">
        <v>42830</v>
      </c>
      <c r="D10" t="str">
        <f t="shared" ca="1" si="0"/>
        <v>8 años 7 meses</v>
      </c>
      <c r="E10" t="s">
        <v>75</v>
      </c>
      <c r="F10" t="s">
        <v>53</v>
      </c>
      <c r="G10" t="s">
        <v>40</v>
      </c>
      <c r="H10" t="s">
        <v>49</v>
      </c>
      <c r="I10" s="2">
        <v>45797</v>
      </c>
      <c r="J10" s="2">
        <f t="shared" ca="1" si="1"/>
        <v>45981</v>
      </c>
      <c r="K10" t="s">
        <v>42</v>
      </c>
      <c r="L10" t="s">
        <v>43</v>
      </c>
      <c r="M10" t="s">
        <v>44</v>
      </c>
      <c r="N10" s="2">
        <v>45930</v>
      </c>
      <c r="O10" s="2">
        <f t="shared" si="2"/>
        <v>46295</v>
      </c>
      <c r="P10" s="2">
        <v>45930</v>
      </c>
      <c r="Q10" s="2">
        <f t="shared" si="3"/>
        <v>46111</v>
      </c>
      <c r="R10" s="2">
        <v>45889</v>
      </c>
      <c r="S10" s="2">
        <f t="shared" si="4"/>
        <v>46073</v>
      </c>
      <c r="T10" s="2">
        <v>45685</v>
      </c>
      <c r="U10" t="s">
        <v>44</v>
      </c>
      <c r="V10" t="s">
        <v>44</v>
      </c>
      <c r="W10" t="s">
        <v>45</v>
      </c>
      <c r="X10" t="s">
        <v>40</v>
      </c>
      <c r="AA10" t="s">
        <v>44</v>
      </c>
      <c r="AK10" t="s">
        <v>294</v>
      </c>
    </row>
    <row r="11" spans="1:37" x14ac:dyDescent="0.25">
      <c r="A11">
        <v>98215731</v>
      </c>
      <c r="B11" t="s">
        <v>295</v>
      </c>
      <c r="C11" s="1">
        <v>43475</v>
      </c>
      <c r="D11" t="str">
        <f t="shared" ca="1" si="0"/>
        <v>6 años 9 meses</v>
      </c>
      <c r="E11" t="s">
        <v>78</v>
      </c>
      <c r="F11" t="s">
        <v>79</v>
      </c>
      <c r="G11" t="s">
        <v>54</v>
      </c>
      <c r="H11" t="s">
        <v>41</v>
      </c>
      <c r="I11" s="2">
        <v>45923</v>
      </c>
      <c r="J11" s="2">
        <f t="shared" ca="1" si="1"/>
        <v>46104</v>
      </c>
      <c r="K11" t="s">
        <v>42</v>
      </c>
      <c r="L11" t="s">
        <v>43</v>
      </c>
      <c r="M11" t="s">
        <v>44</v>
      </c>
      <c r="N11" s="2">
        <v>45749</v>
      </c>
      <c r="O11" s="2">
        <f t="shared" si="2"/>
        <v>46114</v>
      </c>
      <c r="P11" s="2">
        <v>45749</v>
      </c>
      <c r="Q11" s="2">
        <f t="shared" si="3"/>
        <v>45932</v>
      </c>
      <c r="R11" s="2">
        <v>45923</v>
      </c>
      <c r="S11" s="2">
        <f t="shared" si="4"/>
        <v>46104</v>
      </c>
      <c r="T11" s="2">
        <v>45785</v>
      </c>
      <c r="U11" t="s">
        <v>45</v>
      </c>
      <c r="V11" t="s">
        <v>44</v>
      </c>
      <c r="W11" t="s">
        <v>45</v>
      </c>
      <c r="X11" t="s">
        <v>40</v>
      </c>
      <c r="AA11" t="s">
        <v>44</v>
      </c>
      <c r="AK11" t="s">
        <v>296</v>
      </c>
    </row>
    <row r="12" spans="1:37" x14ac:dyDescent="0.25">
      <c r="A12">
        <v>98215744</v>
      </c>
      <c r="B12" t="s">
        <v>297</v>
      </c>
      <c r="C12" s="1">
        <v>45576</v>
      </c>
      <c r="D12" t="str">
        <f t="shared" ca="1" si="0"/>
        <v>1 año 0 meses</v>
      </c>
      <c r="E12" t="s">
        <v>82</v>
      </c>
      <c r="F12" t="s">
        <v>53</v>
      </c>
      <c r="G12" t="s">
        <v>40</v>
      </c>
      <c r="H12" t="s">
        <v>41</v>
      </c>
      <c r="I12" s="2">
        <v>45902</v>
      </c>
      <c r="J12" s="2">
        <f t="shared" ca="1" si="1"/>
        <v>46083</v>
      </c>
      <c r="K12" t="s">
        <v>42</v>
      </c>
      <c r="L12" t="s">
        <v>43</v>
      </c>
      <c r="M12" t="s">
        <v>44</v>
      </c>
      <c r="N12" s="2">
        <v>45862</v>
      </c>
      <c r="O12" s="2">
        <f t="shared" si="2"/>
        <v>46227</v>
      </c>
      <c r="P12" s="2">
        <v>45862</v>
      </c>
      <c r="Q12" s="2">
        <f t="shared" si="3"/>
        <v>46046</v>
      </c>
      <c r="R12" s="2">
        <v>45902</v>
      </c>
      <c r="S12" s="2">
        <f t="shared" si="4"/>
        <v>46083</v>
      </c>
      <c r="T12" t="s">
        <v>40</v>
      </c>
      <c r="U12" t="s">
        <v>44</v>
      </c>
      <c r="V12" t="s">
        <v>44</v>
      </c>
      <c r="W12" t="s">
        <v>45</v>
      </c>
      <c r="X12" t="s">
        <v>40</v>
      </c>
      <c r="AA12" t="s">
        <v>44</v>
      </c>
      <c r="AK12" t="s">
        <v>298</v>
      </c>
    </row>
    <row r="13" spans="1:37" x14ac:dyDescent="0.25">
      <c r="A13">
        <v>98215757</v>
      </c>
      <c r="B13" t="s">
        <v>299</v>
      </c>
      <c r="C13" s="1">
        <v>44300</v>
      </c>
      <c r="D13" t="str">
        <f t="shared" ca="1" si="0"/>
        <v>4 años 6 meses</v>
      </c>
      <c r="E13" t="s">
        <v>85</v>
      </c>
      <c r="F13" t="s">
        <v>39</v>
      </c>
      <c r="G13" t="s">
        <v>40</v>
      </c>
      <c r="H13" t="s">
        <v>49</v>
      </c>
      <c r="I13" s="2">
        <v>45827</v>
      </c>
      <c r="J13" s="2">
        <f t="shared" ca="1" si="1"/>
        <v>46010</v>
      </c>
      <c r="K13" t="s">
        <v>42</v>
      </c>
      <c r="L13" t="s">
        <v>43</v>
      </c>
      <c r="M13" t="s">
        <v>50</v>
      </c>
      <c r="N13" s="2">
        <v>45646</v>
      </c>
      <c r="O13" s="2">
        <f t="shared" si="2"/>
        <v>46011</v>
      </c>
      <c r="P13" s="2">
        <v>45805</v>
      </c>
      <c r="Q13" s="2">
        <f t="shared" si="3"/>
        <v>45989</v>
      </c>
      <c r="R13" s="2">
        <v>45827</v>
      </c>
      <c r="S13" s="2">
        <f t="shared" si="4"/>
        <v>46010</v>
      </c>
      <c r="T13" s="2">
        <v>45827</v>
      </c>
      <c r="U13" t="s">
        <v>44</v>
      </c>
      <c r="V13" t="s">
        <v>44</v>
      </c>
      <c r="W13" t="s">
        <v>45</v>
      </c>
      <c r="X13" t="s">
        <v>45</v>
      </c>
      <c r="AA13" t="s">
        <v>44</v>
      </c>
      <c r="AK13" t="s">
        <v>300</v>
      </c>
    </row>
    <row r="14" spans="1:37" x14ac:dyDescent="0.25">
      <c r="A14">
        <v>98215770</v>
      </c>
      <c r="B14" t="s">
        <v>301</v>
      </c>
      <c r="C14" s="1">
        <v>42645</v>
      </c>
      <c r="D14" t="str">
        <f t="shared" ca="1" si="0"/>
        <v>9 años 1 mes</v>
      </c>
      <c r="E14" t="s">
        <v>88</v>
      </c>
      <c r="F14" t="s">
        <v>89</v>
      </c>
      <c r="G14" t="s">
        <v>40</v>
      </c>
      <c r="H14" t="s">
        <v>49</v>
      </c>
      <c r="I14" s="2">
        <v>45932</v>
      </c>
      <c r="J14" s="2">
        <f t="shared" ca="1" si="1"/>
        <v>46114</v>
      </c>
      <c r="K14" t="s">
        <v>42</v>
      </c>
      <c r="L14" t="s">
        <v>43</v>
      </c>
      <c r="M14" t="s">
        <v>44</v>
      </c>
      <c r="N14" s="2">
        <v>45878</v>
      </c>
      <c r="O14" s="2">
        <f t="shared" si="2"/>
        <v>46243</v>
      </c>
      <c r="P14" s="2">
        <v>45878</v>
      </c>
      <c r="Q14" s="2">
        <f t="shared" si="3"/>
        <v>46062</v>
      </c>
      <c r="R14" s="2">
        <v>45932</v>
      </c>
      <c r="S14" s="2">
        <f t="shared" si="4"/>
        <v>46114</v>
      </c>
      <c r="T14" s="2">
        <v>45586</v>
      </c>
      <c r="U14" t="s">
        <v>44</v>
      </c>
      <c r="V14" t="s">
        <v>44</v>
      </c>
      <c r="W14" t="s">
        <v>45</v>
      </c>
      <c r="X14" t="s">
        <v>40</v>
      </c>
      <c r="AA14" t="s">
        <v>44</v>
      </c>
      <c r="AK14" t="s">
        <v>302</v>
      </c>
    </row>
    <row r="15" spans="1:37" x14ac:dyDescent="0.25">
      <c r="A15">
        <v>98215783</v>
      </c>
      <c r="B15" t="s">
        <v>303</v>
      </c>
      <c r="C15" s="1">
        <v>43718</v>
      </c>
      <c r="D15" t="str">
        <f t="shared" ca="1" si="0"/>
        <v>6 años 1 mes</v>
      </c>
      <c r="E15" t="s">
        <v>92</v>
      </c>
      <c r="F15" t="s">
        <v>53</v>
      </c>
      <c r="G15" t="s">
        <v>40</v>
      </c>
      <c r="H15" t="s">
        <v>49</v>
      </c>
      <c r="I15" s="2">
        <v>45861</v>
      </c>
      <c r="J15" s="2">
        <f t="shared" ca="1" si="1"/>
        <v>46045</v>
      </c>
      <c r="K15" t="s">
        <v>42</v>
      </c>
      <c r="L15" t="s">
        <v>43</v>
      </c>
      <c r="M15" t="s">
        <v>44</v>
      </c>
      <c r="N15" s="2">
        <v>45937</v>
      </c>
      <c r="O15" s="2">
        <f t="shared" si="2"/>
        <v>46302</v>
      </c>
      <c r="P15" s="2">
        <v>45937</v>
      </c>
      <c r="Q15" s="2">
        <f t="shared" si="3"/>
        <v>46119</v>
      </c>
      <c r="R15" t="s">
        <v>40</v>
      </c>
      <c r="S15" t="s">
        <v>44</v>
      </c>
      <c r="T15" t="s">
        <v>40</v>
      </c>
      <c r="U15" t="s">
        <v>45</v>
      </c>
      <c r="V15" t="s">
        <v>44</v>
      </c>
      <c r="W15" t="s">
        <v>45</v>
      </c>
      <c r="X15" t="s">
        <v>40</v>
      </c>
      <c r="AA15" t="s">
        <v>44</v>
      </c>
      <c r="AK15" t="s">
        <v>304</v>
      </c>
    </row>
    <row r="16" spans="1:37" x14ac:dyDescent="0.25">
      <c r="A16">
        <v>98215796</v>
      </c>
      <c r="B16" t="s">
        <v>305</v>
      </c>
      <c r="C16" s="1">
        <v>45423</v>
      </c>
      <c r="D16" t="str">
        <f t="shared" ca="1" si="0"/>
        <v>1 año 5 meses</v>
      </c>
      <c r="E16" t="s">
        <v>40</v>
      </c>
      <c r="F16" t="s">
        <v>79</v>
      </c>
      <c r="G16" t="s">
        <v>54</v>
      </c>
      <c r="H16" t="s">
        <v>49</v>
      </c>
      <c r="I16" s="2">
        <v>45871</v>
      </c>
      <c r="J16" s="2">
        <f t="shared" ca="1" si="1"/>
        <v>46055</v>
      </c>
      <c r="K16" t="s">
        <v>42</v>
      </c>
      <c r="L16" t="s">
        <v>43</v>
      </c>
      <c r="M16" t="s">
        <v>44</v>
      </c>
      <c r="N16" t="s">
        <v>40</v>
      </c>
      <c r="P16" t="s">
        <v>54</v>
      </c>
      <c r="R16" t="s">
        <v>40</v>
      </c>
      <c r="T16" t="s">
        <v>40</v>
      </c>
      <c r="U16" t="s">
        <v>44</v>
      </c>
      <c r="V16" t="s">
        <v>44</v>
      </c>
      <c r="W16" t="s">
        <v>45</v>
      </c>
      <c r="AK16" t="s">
        <v>306</v>
      </c>
    </row>
    <row r="17" spans="1:37" x14ac:dyDescent="0.25">
      <c r="A17">
        <v>98215809</v>
      </c>
      <c r="B17" t="s">
        <v>307</v>
      </c>
      <c r="C17" s="1">
        <v>42598</v>
      </c>
      <c r="D17" t="str">
        <f t="shared" ca="1" si="0"/>
        <v>9 años 2 meses</v>
      </c>
      <c r="E17" t="s">
        <v>97</v>
      </c>
      <c r="F17" t="s">
        <v>53</v>
      </c>
      <c r="G17" t="s">
        <v>40</v>
      </c>
      <c r="H17" t="s">
        <v>41</v>
      </c>
      <c r="I17" s="2">
        <v>45938</v>
      </c>
      <c r="J17" s="2">
        <f t="shared" ca="1" si="1"/>
        <v>46120</v>
      </c>
      <c r="K17" t="s">
        <v>42</v>
      </c>
      <c r="L17" t="s">
        <v>43</v>
      </c>
      <c r="M17" t="s">
        <v>44</v>
      </c>
      <c r="N17" s="2">
        <v>45896</v>
      </c>
      <c r="O17" s="2">
        <f t="shared" ref="O17:O29" si="5">IFERROR(DATE(YEAR(N17)+1,MONTH(N17),DAY(N17)),"")</f>
        <v>46261</v>
      </c>
      <c r="P17" t="s">
        <v>59</v>
      </c>
      <c r="Q17" t="s">
        <v>44</v>
      </c>
      <c r="R17" t="s">
        <v>98</v>
      </c>
      <c r="S17" t="str">
        <f>IFERROR(DATE(YEAR(R17),MONTH(R17)+6,DAY(R17)),"")</f>
        <v/>
      </c>
      <c r="T17" t="s">
        <v>40</v>
      </c>
      <c r="U17" t="s">
        <v>45</v>
      </c>
      <c r="V17" t="s">
        <v>44</v>
      </c>
      <c r="W17" t="s">
        <v>45</v>
      </c>
      <c r="AA17" t="s">
        <v>44</v>
      </c>
      <c r="AK17" t="s">
        <v>308</v>
      </c>
    </row>
    <row r="18" spans="1:37" x14ac:dyDescent="0.25">
      <c r="A18">
        <v>98215822</v>
      </c>
      <c r="B18" t="s">
        <v>309</v>
      </c>
      <c r="C18" s="1">
        <v>42250</v>
      </c>
      <c r="D18" t="str">
        <f t="shared" ca="1" si="0"/>
        <v>10 años 2 meses</v>
      </c>
      <c r="E18" t="s">
        <v>101</v>
      </c>
      <c r="F18" t="s">
        <v>53</v>
      </c>
      <c r="G18" t="s">
        <v>40</v>
      </c>
      <c r="H18" t="s">
        <v>41</v>
      </c>
      <c r="I18" s="2">
        <v>45916</v>
      </c>
      <c r="J18" s="2">
        <f t="shared" ca="1" si="1"/>
        <v>46097</v>
      </c>
      <c r="K18" t="s">
        <v>42</v>
      </c>
      <c r="L18" t="s">
        <v>43</v>
      </c>
      <c r="M18" t="s">
        <v>44</v>
      </c>
      <c r="N18" t="s">
        <v>40</v>
      </c>
      <c r="O18" t="str">
        <f t="shared" si="5"/>
        <v/>
      </c>
      <c r="P18" t="s">
        <v>59</v>
      </c>
      <c r="Q18" t="str">
        <f t="shared" ref="Q18:Q23" si="6">IFERROR(DATE(YEAR(P18),MONTH(P18)+6,DAY(P18)),"")</f>
        <v/>
      </c>
      <c r="R18" t="s">
        <v>98</v>
      </c>
      <c r="S18" t="str">
        <f>IFERROR(DATE(YEAR(R18),MONTH(R18)+6,DAY(R18)),"")</f>
        <v/>
      </c>
      <c r="T18" t="s">
        <v>40</v>
      </c>
      <c r="U18" t="s">
        <v>40</v>
      </c>
      <c r="V18" t="s">
        <v>44</v>
      </c>
      <c r="W18" t="s">
        <v>45</v>
      </c>
      <c r="AA18" t="s">
        <v>44</v>
      </c>
      <c r="AK18" t="s">
        <v>310</v>
      </c>
    </row>
    <row r="19" spans="1:37" x14ac:dyDescent="0.25">
      <c r="A19">
        <v>98215835</v>
      </c>
      <c r="B19" t="s">
        <v>311</v>
      </c>
      <c r="C19" s="1">
        <v>44361</v>
      </c>
      <c r="D19" t="str">
        <f t="shared" ca="1" si="0"/>
        <v>4 años 4 meses</v>
      </c>
      <c r="E19" t="s">
        <v>40</v>
      </c>
      <c r="F19" t="s">
        <v>79</v>
      </c>
      <c r="G19" t="s">
        <v>54</v>
      </c>
      <c r="H19" t="s">
        <v>41</v>
      </c>
      <c r="I19" s="2">
        <v>45869</v>
      </c>
      <c r="J19" s="2">
        <f t="shared" ca="1" si="1"/>
        <v>46053</v>
      </c>
      <c r="K19" t="s">
        <v>42</v>
      </c>
      <c r="L19" t="s">
        <v>43</v>
      </c>
      <c r="M19" t="s">
        <v>44</v>
      </c>
      <c r="N19" s="2">
        <v>45902</v>
      </c>
      <c r="O19" s="2">
        <f t="shared" si="5"/>
        <v>46267</v>
      </c>
      <c r="P19" s="2">
        <v>45902</v>
      </c>
      <c r="Q19" s="2">
        <f t="shared" si="6"/>
        <v>46083</v>
      </c>
      <c r="R19" t="s">
        <v>40</v>
      </c>
      <c r="T19" t="s">
        <v>40</v>
      </c>
      <c r="U19" t="s">
        <v>44</v>
      </c>
      <c r="V19" t="s">
        <v>44</v>
      </c>
      <c r="W19" s="2">
        <v>45923</v>
      </c>
      <c r="AA19" t="s">
        <v>44</v>
      </c>
      <c r="AK19" t="s">
        <v>312</v>
      </c>
    </row>
    <row r="20" spans="1:37" x14ac:dyDescent="0.25">
      <c r="A20">
        <v>98215848</v>
      </c>
      <c r="B20" t="s">
        <v>313</v>
      </c>
      <c r="C20" s="1">
        <v>45680</v>
      </c>
      <c r="D20" t="str">
        <f t="shared" ca="1" si="0"/>
        <v>0 años 9 meses</v>
      </c>
      <c r="E20" t="s">
        <v>106</v>
      </c>
      <c r="F20" t="s">
        <v>53</v>
      </c>
      <c r="G20" t="s">
        <v>107</v>
      </c>
      <c r="H20" t="s">
        <v>41</v>
      </c>
      <c r="I20" s="2">
        <v>45863</v>
      </c>
      <c r="J20" s="2">
        <f t="shared" ca="1" si="1"/>
        <v>45955</v>
      </c>
      <c r="K20" t="s">
        <v>42</v>
      </c>
      <c r="L20" t="s">
        <v>43</v>
      </c>
      <c r="M20" t="s">
        <v>44</v>
      </c>
      <c r="N20" t="s">
        <v>108</v>
      </c>
      <c r="O20" t="str">
        <f t="shared" si="5"/>
        <v/>
      </c>
      <c r="P20" t="s">
        <v>59</v>
      </c>
      <c r="Q20" t="str">
        <f t="shared" si="6"/>
        <v/>
      </c>
      <c r="R20" t="s">
        <v>98</v>
      </c>
      <c r="S20" t="str">
        <f>IFERROR(DATE(YEAR(R20),MONTH(R20)+6,DAY(R20)),"")</f>
        <v/>
      </c>
      <c r="T20" t="s">
        <v>40</v>
      </c>
      <c r="U20" t="s">
        <v>45</v>
      </c>
      <c r="V20" t="s">
        <v>44</v>
      </c>
      <c r="W20" t="s">
        <v>40</v>
      </c>
      <c r="AA20" t="s">
        <v>44</v>
      </c>
      <c r="AK20" t="s">
        <v>314</v>
      </c>
    </row>
    <row r="21" spans="1:37" x14ac:dyDescent="0.25">
      <c r="A21">
        <v>98215861</v>
      </c>
      <c r="B21" t="s">
        <v>315</v>
      </c>
      <c r="C21" s="1">
        <v>44758</v>
      </c>
      <c r="D21" t="str">
        <f t="shared" ca="1" si="0"/>
        <v>3 años 3 meses</v>
      </c>
      <c r="E21" t="s">
        <v>111</v>
      </c>
      <c r="F21" t="s">
        <v>53</v>
      </c>
      <c r="G21" t="s">
        <v>54</v>
      </c>
      <c r="H21" t="s">
        <v>41</v>
      </c>
      <c r="I21" s="2">
        <v>45805</v>
      </c>
      <c r="J21" s="2">
        <f t="shared" ca="1" si="1"/>
        <v>45989</v>
      </c>
      <c r="K21" t="s">
        <v>42</v>
      </c>
      <c r="L21" t="s">
        <v>43</v>
      </c>
      <c r="M21" t="s">
        <v>44</v>
      </c>
      <c r="N21" s="2">
        <v>45779</v>
      </c>
      <c r="O21" s="2">
        <f t="shared" si="5"/>
        <v>46144</v>
      </c>
      <c r="P21" s="2">
        <v>45779</v>
      </c>
      <c r="Q21" s="2">
        <f t="shared" si="6"/>
        <v>45963</v>
      </c>
      <c r="R21" s="2">
        <v>45883</v>
      </c>
      <c r="S21" s="2">
        <f>IFERROR(DATE(YEAR(R21),MONTH(R21)+6,DAY(R21)),"")</f>
        <v>46067</v>
      </c>
      <c r="T21" t="s">
        <v>40</v>
      </c>
      <c r="U21" t="s">
        <v>44</v>
      </c>
      <c r="V21" t="s">
        <v>44</v>
      </c>
      <c r="W21" t="s">
        <v>45</v>
      </c>
      <c r="AA21" t="s">
        <v>44</v>
      </c>
      <c r="AK21" t="s">
        <v>316</v>
      </c>
    </row>
    <row r="22" spans="1:37" x14ac:dyDescent="0.25">
      <c r="A22">
        <v>98215874</v>
      </c>
      <c r="B22" t="s">
        <v>317</v>
      </c>
      <c r="C22" s="1">
        <v>43102</v>
      </c>
      <c r="D22" t="str">
        <f t="shared" ca="1" si="0"/>
        <v>7 años 10 meses</v>
      </c>
      <c r="E22" t="s">
        <v>114</v>
      </c>
      <c r="F22" t="s">
        <v>53</v>
      </c>
      <c r="G22" t="s">
        <v>40</v>
      </c>
      <c r="H22" t="s">
        <v>49</v>
      </c>
      <c r="I22" s="2">
        <v>45924</v>
      </c>
      <c r="J22" s="2">
        <f t="shared" ca="1" si="1"/>
        <v>46105</v>
      </c>
      <c r="K22" t="s">
        <v>42</v>
      </c>
      <c r="L22" t="s">
        <v>43</v>
      </c>
      <c r="M22" t="s">
        <v>50</v>
      </c>
      <c r="N22" s="2">
        <v>45775</v>
      </c>
      <c r="O22" s="2">
        <f t="shared" si="5"/>
        <v>46140</v>
      </c>
      <c r="P22" s="2">
        <v>45775</v>
      </c>
      <c r="Q22" s="2">
        <f t="shared" si="6"/>
        <v>45958</v>
      </c>
      <c r="R22" s="2">
        <v>45826</v>
      </c>
      <c r="S22" s="2">
        <f>IFERROR(DATE(YEAR(R22),MONTH(R22)+6,DAY(R22)),"")</f>
        <v>46009</v>
      </c>
      <c r="T22" s="2">
        <v>45803</v>
      </c>
      <c r="U22" t="s">
        <v>44</v>
      </c>
      <c r="V22" t="s">
        <v>44</v>
      </c>
      <c r="W22" t="s">
        <v>45</v>
      </c>
      <c r="X22" t="s">
        <v>45</v>
      </c>
      <c r="AA22" t="s">
        <v>44</v>
      </c>
      <c r="AK22" t="s">
        <v>318</v>
      </c>
    </row>
    <row r="23" spans="1:37" x14ac:dyDescent="0.25">
      <c r="A23">
        <v>98215887</v>
      </c>
      <c r="B23" t="s">
        <v>319</v>
      </c>
      <c r="C23" s="1">
        <v>43332</v>
      </c>
      <c r="D23" t="str">
        <f t="shared" ca="1" si="0"/>
        <v>7 años 2 meses</v>
      </c>
      <c r="E23" t="s">
        <v>117</v>
      </c>
      <c r="F23" t="s">
        <v>53</v>
      </c>
      <c r="G23" t="s">
        <v>40</v>
      </c>
      <c r="H23" t="s">
        <v>49</v>
      </c>
      <c r="I23" s="2">
        <v>45793</v>
      </c>
      <c r="J23" s="2">
        <f t="shared" ca="1" si="1"/>
        <v>45977</v>
      </c>
      <c r="K23" t="s">
        <v>42</v>
      </c>
      <c r="L23" t="s">
        <v>43</v>
      </c>
      <c r="M23" t="s">
        <v>44</v>
      </c>
      <c r="N23" s="2">
        <v>45878</v>
      </c>
      <c r="O23" s="2">
        <f t="shared" si="5"/>
        <v>46243</v>
      </c>
      <c r="P23" s="2">
        <v>45878</v>
      </c>
      <c r="Q23" s="2">
        <f t="shared" si="6"/>
        <v>46062</v>
      </c>
      <c r="R23" s="2">
        <v>45728</v>
      </c>
      <c r="S23" s="2">
        <f>IFERROR(DATE(YEAR(R23),MONTH(R23)+6,DAY(R23)),"")</f>
        <v>45912</v>
      </c>
      <c r="T23" s="2">
        <v>45793</v>
      </c>
      <c r="U23" t="s">
        <v>44</v>
      </c>
      <c r="V23" t="s">
        <v>44</v>
      </c>
      <c r="W23" t="s">
        <v>45</v>
      </c>
      <c r="X23" t="s">
        <v>45</v>
      </c>
      <c r="AA23" t="s">
        <v>44</v>
      </c>
      <c r="AK23" t="s">
        <v>320</v>
      </c>
    </row>
    <row r="24" spans="1:37" x14ac:dyDescent="0.25">
      <c r="A24">
        <v>98215900</v>
      </c>
      <c r="B24" t="s">
        <v>321</v>
      </c>
      <c r="C24" s="1">
        <v>42282</v>
      </c>
      <c r="D24" t="str">
        <f t="shared" ca="1" si="0"/>
        <v>10 años 1 mes</v>
      </c>
      <c r="E24" t="s">
        <v>48</v>
      </c>
      <c r="F24" t="s">
        <v>53</v>
      </c>
      <c r="G24" t="s">
        <v>40</v>
      </c>
      <c r="H24" t="s">
        <v>41</v>
      </c>
      <c r="I24" s="2">
        <v>45924</v>
      </c>
      <c r="J24" s="2">
        <f t="shared" ca="1" si="1"/>
        <v>46105</v>
      </c>
      <c r="K24" t="s">
        <v>42</v>
      </c>
      <c r="L24" t="s">
        <v>43</v>
      </c>
      <c r="M24" t="s">
        <v>44</v>
      </c>
      <c r="N24" s="2">
        <v>45818</v>
      </c>
      <c r="O24" s="2">
        <f t="shared" si="5"/>
        <v>46183</v>
      </c>
      <c r="P24" t="s">
        <v>59</v>
      </c>
      <c r="Q24" t="s">
        <v>44</v>
      </c>
      <c r="R24" t="s">
        <v>98</v>
      </c>
      <c r="S24" t="s">
        <v>44</v>
      </c>
      <c r="T24" t="s">
        <v>40</v>
      </c>
      <c r="U24" t="s">
        <v>45</v>
      </c>
      <c r="V24" t="s">
        <v>44</v>
      </c>
      <c r="W24" t="s">
        <v>45</v>
      </c>
      <c r="AA24" t="s">
        <v>44</v>
      </c>
      <c r="AK24" t="s">
        <v>322</v>
      </c>
    </row>
    <row r="25" spans="1:37" x14ac:dyDescent="0.25">
      <c r="A25">
        <v>98215913</v>
      </c>
      <c r="B25" t="s">
        <v>323</v>
      </c>
      <c r="C25" s="1">
        <v>41996</v>
      </c>
      <c r="D25" t="str">
        <f t="shared" ca="1" si="0"/>
        <v>10 años 10 meses</v>
      </c>
      <c r="E25" t="s">
        <v>40</v>
      </c>
      <c r="F25" t="s">
        <v>79</v>
      </c>
      <c r="G25" t="s">
        <v>40</v>
      </c>
      <c r="H25" t="s">
        <v>49</v>
      </c>
      <c r="I25" s="2">
        <v>45744</v>
      </c>
      <c r="J25" s="2">
        <f t="shared" ca="1" si="1"/>
        <v>45928</v>
      </c>
      <c r="K25" t="s">
        <v>42</v>
      </c>
      <c r="L25" t="s">
        <v>43</v>
      </c>
      <c r="M25" t="s">
        <v>122</v>
      </c>
      <c r="N25" s="2">
        <v>45744</v>
      </c>
      <c r="O25" s="2">
        <f t="shared" si="5"/>
        <v>46109</v>
      </c>
      <c r="P25" s="2">
        <v>45744</v>
      </c>
      <c r="Q25" s="2">
        <f>IFERROR(DATE(YEAR(P25),MONTH(P25)+6,DAY(P25)),"")</f>
        <v>45928</v>
      </c>
      <c r="R25" s="2">
        <v>45744</v>
      </c>
      <c r="S25" s="2">
        <f>IFERROR(DATE(YEAR(R25),MONTH(R25)+6,DAY(R25)),"")</f>
        <v>45928</v>
      </c>
      <c r="T25" s="2">
        <v>45744</v>
      </c>
      <c r="U25" t="s">
        <v>44</v>
      </c>
      <c r="V25" t="s">
        <v>44</v>
      </c>
      <c r="W25" t="s">
        <v>45</v>
      </c>
      <c r="X25" t="s">
        <v>45</v>
      </c>
      <c r="AA25" t="s">
        <v>44</v>
      </c>
      <c r="AK25" t="s">
        <v>324</v>
      </c>
    </row>
    <row r="26" spans="1:37" x14ac:dyDescent="0.25">
      <c r="A26">
        <v>98215926</v>
      </c>
      <c r="B26" t="s">
        <v>325</v>
      </c>
      <c r="C26" s="1">
        <v>44258</v>
      </c>
      <c r="D26" t="str">
        <f t="shared" ca="1" si="0"/>
        <v>4 años 8 meses</v>
      </c>
      <c r="E26" t="s">
        <v>125</v>
      </c>
      <c r="F26" t="s">
        <v>79</v>
      </c>
      <c r="G26" t="s">
        <v>40</v>
      </c>
      <c r="H26" t="s">
        <v>49</v>
      </c>
      <c r="I26" s="2">
        <v>45931</v>
      </c>
      <c r="J26" s="2">
        <f t="shared" ca="1" si="1"/>
        <v>46113</v>
      </c>
      <c r="K26" t="s">
        <v>42</v>
      </c>
      <c r="L26" t="s">
        <v>43</v>
      </c>
      <c r="M26" t="s">
        <v>50</v>
      </c>
      <c r="N26" s="2">
        <v>45946</v>
      </c>
      <c r="O26" s="2">
        <f t="shared" si="5"/>
        <v>46311</v>
      </c>
      <c r="P26" s="2">
        <v>45946</v>
      </c>
      <c r="Q26" s="2">
        <f>IFERROR(DATE(YEAR(P26),MONTH(P26)+6,DAY(P26)),"")</f>
        <v>46128</v>
      </c>
      <c r="R26" s="2">
        <v>45931</v>
      </c>
      <c r="S26" s="2">
        <f>IFERROR(DATE(YEAR(R26),MONTH(R26)+6,DAY(R26)),"")</f>
        <v>46113</v>
      </c>
      <c r="T26" s="2">
        <v>45719</v>
      </c>
      <c r="U26" t="s">
        <v>44</v>
      </c>
      <c r="V26" t="s">
        <v>44</v>
      </c>
      <c r="W26" t="s">
        <v>45</v>
      </c>
      <c r="X26" t="s">
        <v>40</v>
      </c>
      <c r="AA26" t="s">
        <v>44</v>
      </c>
      <c r="AK26" t="s">
        <v>326</v>
      </c>
    </row>
    <row r="27" spans="1:37" x14ac:dyDescent="0.25">
      <c r="A27">
        <v>98215939</v>
      </c>
      <c r="B27" t="s">
        <v>327</v>
      </c>
      <c r="C27" s="1">
        <v>42500</v>
      </c>
      <c r="D27" t="str">
        <f t="shared" ca="1" si="0"/>
        <v>9 años 5 meses</v>
      </c>
      <c r="E27" t="s">
        <v>101</v>
      </c>
      <c r="F27" t="s">
        <v>79</v>
      </c>
      <c r="G27" t="s">
        <v>40</v>
      </c>
      <c r="H27" t="s">
        <v>49</v>
      </c>
      <c r="I27" s="2">
        <v>45890</v>
      </c>
      <c r="J27" s="2">
        <f t="shared" ca="1" si="1"/>
        <v>46074</v>
      </c>
      <c r="K27" t="s">
        <v>42</v>
      </c>
      <c r="L27" t="s">
        <v>43</v>
      </c>
      <c r="M27" t="s">
        <v>44</v>
      </c>
      <c r="N27" s="2">
        <v>45853</v>
      </c>
      <c r="O27" s="2">
        <f t="shared" si="5"/>
        <v>46218</v>
      </c>
      <c r="P27" s="2">
        <v>45853</v>
      </c>
      <c r="Q27" s="2">
        <f>IFERROR(DATE(YEAR(P27),MONTH(P27)+6,DAY(P27)),"")</f>
        <v>46037</v>
      </c>
      <c r="R27" s="2">
        <v>45853</v>
      </c>
      <c r="S27" s="2">
        <f>IFERROR(DATE(YEAR(R27),MONTH(R27)+6,DAY(R27)),"")</f>
        <v>46037</v>
      </c>
      <c r="T27" s="2">
        <v>45670</v>
      </c>
      <c r="U27" t="s">
        <v>44</v>
      </c>
      <c r="V27" t="s">
        <v>44</v>
      </c>
      <c r="W27" t="s">
        <v>45</v>
      </c>
      <c r="X27" t="s">
        <v>40</v>
      </c>
      <c r="AA27" t="s">
        <v>44</v>
      </c>
      <c r="AK27" t="s">
        <v>328</v>
      </c>
    </row>
    <row r="28" spans="1:37" x14ac:dyDescent="0.25">
      <c r="A28">
        <v>98215952</v>
      </c>
      <c r="B28" t="s">
        <v>329</v>
      </c>
      <c r="C28" s="1">
        <v>44231</v>
      </c>
      <c r="D28" t="str">
        <f t="shared" ca="1" si="0"/>
        <v>4 años 9 meses</v>
      </c>
      <c r="E28" t="s">
        <v>40</v>
      </c>
      <c r="F28" t="s">
        <v>39</v>
      </c>
      <c r="G28" t="s">
        <v>54</v>
      </c>
      <c r="H28" t="s">
        <v>41</v>
      </c>
      <c r="I28" s="2">
        <v>45779</v>
      </c>
      <c r="J28" s="2">
        <f t="shared" ca="1" si="1"/>
        <v>45963</v>
      </c>
      <c r="K28" t="s">
        <v>42</v>
      </c>
      <c r="L28" t="s">
        <v>43</v>
      </c>
      <c r="M28" t="s">
        <v>44</v>
      </c>
      <c r="N28" s="2">
        <v>45944</v>
      </c>
      <c r="O28" s="2">
        <f t="shared" si="5"/>
        <v>46309</v>
      </c>
      <c r="P28" s="2">
        <v>45944</v>
      </c>
      <c r="Q28" s="2">
        <f>IFERROR(DATE(YEAR(P28),MONTH(P28)+6,DAY(P28)),"")</f>
        <v>46126</v>
      </c>
      <c r="R28" s="2">
        <v>45779</v>
      </c>
      <c r="S28" s="2">
        <f>IFERROR(DATE(YEAR(R28),MONTH(R28)+6,DAY(R28)),"")</f>
        <v>45963</v>
      </c>
      <c r="T28" s="2">
        <v>45779</v>
      </c>
      <c r="U28" t="s">
        <v>44</v>
      </c>
      <c r="V28" t="s">
        <v>44</v>
      </c>
      <c r="W28" t="s">
        <v>45</v>
      </c>
      <c r="AA28" t="s">
        <v>44</v>
      </c>
      <c r="AK28" t="s">
        <v>330</v>
      </c>
    </row>
    <row r="29" spans="1:37" x14ac:dyDescent="0.25">
      <c r="A29">
        <v>98215965</v>
      </c>
      <c r="B29" t="s">
        <v>331</v>
      </c>
      <c r="C29" s="1">
        <v>44792</v>
      </c>
      <c r="D29" t="str">
        <f t="shared" ca="1" si="0"/>
        <v>3 años 2 meses</v>
      </c>
      <c r="E29" t="s">
        <v>132</v>
      </c>
      <c r="F29" t="s">
        <v>133</v>
      </c>
      <c r="G29" t="s">
        <v>40</v>
      </c>
      <c r="H29" t="s">
        <v>49</v>
      </c>
      <c r="I29" s="2">
        <v>45867</v>
      </c>
      <c r="J29" s="2">
        <f t="shared" ca="1" si="1"/>
        <v>46051</v>
      </c>
      <c r="K29" t="s">
        <v>42</v>
      </c>
      <c r="L29" t="s">
        <v>43</v>
      </c>
      <c r="M29" t="s">
        <v>44</v>
      </c>
      <c r="N29" s="2">
        <v>45881</v>
      </c>
      <c r="O29" s="2">
        <f t="shared" si="5"/>
        <v>46246</v>
      </c>
      <c r="P29" s="2">
        <v>45881</v>
      </c>
      <c r="Q29" s="2">
        <f>IFERROR(DATE(YEAR(P29),MONTH(P29)+6,DAY(P29)),"")</f>
        <v>46065</v>
      </c>
      <c r="R29" s="2">
        <v>45944</v>
      </c>
      <c r="S29" s="2">
        <f>IFERROR(DATE(YEAR(R29),MONTH(R29)+6,DAY(R29)),"")</f>
        <v>46126</v>
      </c>
      <c r="T29" s="2">
        <v>45720</v>
      </c>
      <c r="U29" t="s">
        <v>44</v>
      </c>
      <c r="V29" t="s">
        <v>44</v>
      </c>
      <c r="W29" t="s">
        <v>45</v>
      </c>
      <c r="X29" t="s">
        <v>45</v>
      </c>
      <c r="Y29" t="s">
        <v>40</v>
      </c>
      <c r="AA29" t="s">
        <v>44</v>
      </c>
      <c r="AK29" t="s">
        <v>332</v>
      </c>
    </row>
    <row r="30" spans="1:37" x14ac:dyDescent="0.25">
      <c r="C30" s="1"/>
    </row>
    <row r="31" spans="1:37" x14ac:dyDescent="0.25">
      <c r="C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CUNAS 1</vt:lpstr>
      <vt:lpstr>CUNAS 2</vt:lpstr>
      <vt:lpstr>CUNAS 3</vt:lpstr>
      <vt:lpstr>CUNAS 4</vt:lpstr>
      <vt:lpstr>CUNAS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Goez</dc:creator>
  <cp:lastModifiedBy>Oscar Goez</cp:lastModifiedBy>
  <dcterms:created xsi:type="dcterms:W3CDTF">2025-11-07T16:32:09Z</dcterms:created>
  <dcterms:modified xsi:type="dcterms:W3CDTF">2025-11-07T22:52:22Z</dcterms:modified>
</cp:coreProperties>
</file>