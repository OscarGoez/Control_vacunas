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4" autoFilterDateGrouping="1"/>
  </bookViews>
  <sheets>
    <sheet xmlns:r="http://schemas.openxmlformats.org/officeDocument/2006/relationships" name="CUNAS 1" sheetId="1" state="visible" r:id="rId1"/>
    <sheet xmlns:r="http://schemas.openxmlformats.org/officeDocument/2006/relationships" name="CUNAS 2" sheetId="2" state="visible" r:id="rId2"/>
    <sheet xmlns:r="http://schemas.openxmlformats.org/officeDocument/2006/relationships" name="CUNAS 3" sheetId="3" state="visible" r:id="rId3"/>
    <sheet xmlns:r="http://schemas.openxmlformats.org/officeDocument/2006/relationships" name="CUNAS 4" sheetId="4" state="visible" r:id="rId4"/>
    <sheet xmlns:r="http://schemas.openxmlformats.org/officeDocument/2006/relationships" name="CUNAS 5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I1" sqref="I1"/>
    </sheetView>
  </sheetViews>
  <sheetFormatPr baseColWidth="10" defaultColWidth="9.140625" defaultRowHeight="15"/>
  <cols>
    <col width="18.140625" bestFit="1" customWidth="1" min="1" max="1"/>
    <col width="15.42578125" bestFit="1" customWidth="1" min="2" max="2"/>
    <col width="19.5703125" bestFit="1" customWidth="1" min="3" max="3"/>
    <col width="78.85546875" bestFit="1" customWidth="1" min="4" max="4"/>
    <col width="29.5703125" bestFit="1" customWidth="1" min="5" max="5"/>
    <col width="17.28515625" bestFit="1" customWidth="1" min="6" max="6"/>
    <col width="28.85546875" bestFit="1" customWidth="1" min="7" max="7"/>
  </cols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FECHA_NACIMIENTO</t>
        </is>
      </c>
      <c r="D1" s="1" t="inlineStr">
        <is>
          <t>DIRECCION</t>
        </is>
      </c>
      <c r="E1" s="1" t="inlineStr">
        <is>
          <t>CORREO</t>
        </is>
      </c>
      <c r="F1" s="1" t="inlineStr">
        <is>
          <t>TELEFONO</t>
        </is>
      </c>
      <c r="G1" s="1" t="inlineStr">
        <is>
          <t>ACUDIENTE</t>
        </is>
      </c>
    </row>
    <row r="2">
      <c r="A2" t="inlineStr">
        <is>
          <t>Gabriel Hernández</t>
        </is>
      </c>
      <c r="B2" t="n">
        <v>88924915</v>
      </c>
      <c r="C2" s="2" t="n">
        <v>44785</v>
      </c>
      <c r="D2" t="inlineStr">
        <is>
          <t>Cl. 56 # 44M-16 Este, 254069, Guaduas, Cundinamarca</t>
        </is>
      </c>
      <c r="E2" t="inlineStr">
        <is>
          <t>xrincon@example.org</t>
        </is>
      </c>
      <c r="F2" t="inlineStr">
        <is>
          <t>(+57) 606 219 47 20</t>
        </is>
      </c>
      <c r="G2" t="inlineStr">
        <is>
          <t>Isaac Cristian Romero Angarita</t>
        </is>
      </c>
    </row>
    <row r="3">
      <c r="A3" t="inlineStr">
        <is>
          <t>Iván Silva</t>
        </is>
      </c>
      <c r="B3" t="n">
        <v>52303374</v>
      </c>
      <c r="C3" s="2" t="n">
        <v>42523</v>
      </c>
      <c r="D3" t="inlineStr">
        <is>
          <t>Avenida María Paola Ortega # 89-5, Etapa 5 apartamento 69, 680624, Güepsa, Santander</t>
        </is>
      </c>
      <c r="E3" t="inlineStr">
        <is>
          <t>ajimenez@example.com</t>
        </is>
      </c>
      <c r="F3" t="inlineStr">
        <is>
          <t>(+57) 301 261 61 12</t>
        </is>
      </c>
      <c r="G3" t="inlineStr">
        <is>
          <t>Leidy Paola Murcia Rojas</t>
        </is>
      </c>
    </row>
    <row r="4">
      <c r="A4" t="inlineStr">
        <is>
          <t>Michael Alzate</t>
        </is>
      </c>
      <c r="B4" t="n">
        <v>53624081</v>
      </c>
      <c r="C4" s="2" t="n">
        <v>43244</v>
      </c>
      <c r="D4" t="inlineStr">
        <is>
          <t>Av. carrera 49 # 82-8 Sur, 050478, Medellín</t>
        </is>
      </c>
      <c r="E4" t="inlineStr">
        <is>
          <t>daniela88@example.org</t>
        </is>
      </c>
      <c r="F4" t="inlineStr">
        <is>
          <t>(+57)6069281271</t>
        </is>
      </c>
      <c r="G4" t="inlineStr">
        <is>
          <t>Juan Humberto Serna</t>
        </is>
      </c>
    </row>
    <row r="5">
      <c r="A5" t="inlineStr">
        <is>
          <t>Jesús González</t>
        </is>
      </c>
      <c r="B5" t="n">
        <v>12664646</v>
      </c>
      <c r="C5" s="2" t="n">
        <v>44601</v>
      </c>
      <c r="D5" t="inlineStr">
        <is>
          <t>Carrera 10 # 3-6 Sur, 525662, Ospina, Nariño</t>
        </is>
      </c>
      <c r="E5" t="inlineStr">
        <is>
          <t>bmunoz@example.org</t>
        </is>
      </c>
      <c r="F5" t="inlineStr">
        <is>
          <t>576057916780</t>
        </is>
      </c>
      <c r="G5" t="inlineStr">
        <is>
          <t>José Ciro Rodríguez González</t>
        </is>
      </c>
    </row>
    <row r="6">
      <c r="A6" t="inlineStr">
        <is>
          <t>Carlos Medina</t>
        </is>
      </c>
      <c r="B6" t="n">
        <v>62480522</v>
      </c>
      <c r="C6" s="2" t="n">
        <v>43484</v>
      </c>
      <c r="D6" t="inlineStr">
        <is>
          <t>Cl. 46 # 1F-70, Torre 3 apartamento 760, 250693, Subachoque, Cundinamarca</t>
        </is>
      </c>
      <c r="E6" t="inlineStr">
        <is>
          <t>nelcy25@example.net</t>
        </is>
      </c>
      <c r="F6" t="inlineStr">
        <is>
          <t>57 311 133 43 30</t>
        </is>
      </c>
      <c r="G6" t="inlineStr">
        <is>
          <t>Eduar Caicedo Ardila</t>
        </is>
      </c>
    </row>
    <row r="7">
      <c r="A7" t="inlineStr">
        <is>
          <t>Isabel Gómez</t>
        </is>
      </c>
      <c r="B7" t="n">
        <v>34900520</v>
      </c>
      <c r="C7" s="2" t="n">
        <v>42135</v>
      </c>
      <c r="D7" t="inlineStr">
        <is>
          <t>Avenida calle 71 # 3-9 Sur, 198691, Caldono, Cauca</t>
        </is>
      </c>
      <c r="E7" t="inlineStr">
        <is>
          <t>mariafajardo@example.net</t>
        </is>
      </c>
      <c r="F7" t="inlineStr">
        <is>
          <t>(+57)3128651523</t>
        </is>
      </c>
      <c r="G7" t="inlineStr">
        <is>
          <t>Fernando Ángel Córdoba</t>
        </is>
      </c>
    </row>
    <row r="8">
      <c r="A8" t="inlineStr">
        <is>
          <t>Alexander Moreno</t>
        </is>
      </c>
      <c r="B8" t="n">
        <v>16298048</v>
      </c>
      <c r="C8" s="2" t="n">
        <v>42107</v>
      </c>
      <c r="D8" t="inlineStr">
        <is>
          <t>Carrera 7ª # 45-8, 764614, Toro, Valle del Cauca</t>
        </is>
      </c>
      <c r="E8" t="inlineStr">
        <is>
          <t>diegobuitrago@example.net</t>
        </is>
      </c>
      <c r="F8" t="inlineStr">
        <is>
          <t>018000571164</t>
        </is>
      </c>
      <c r="G8" t="inlineStr">
        <is>
          <t>Eliecer Frank Sepúlveda</t>
        </is>
      </c>
    </row>
    <row r="9">
      <c r="A9" t="inlineStr">
        <is>
          <t>Stiven Giraldo</t>
        </is>
      </c>
      <c r="B9" t="n">
        <v>25694687</v>
      </c>
      <c r="C9" s="2" t="n">
        <v>44849</v>
      </c>
      <c r="D9" t="inlineStr">
        <is>
          <t>Cl. 30 # 84-58 Sur, 943384, San Felipe, Guainía</t>
        </is>
      </c>
      <c r="E9" t="inlineStr">
        <is>
          <t>wcaballero@example.org</t>
        </is>
      </c>
      <c r="F9" t="inlineStr">
        <is>
          <t>(+57)3178688386</t>
        </is>
      </c>
      <c r="G9" t="inlineStr">
        <is>
          <t>Johana Aguilar</t>
        </is>
      </c>
    </row>
    <row r="10">
      <c r="A10" t="inlineStr">
        <is>
          <t>David Galeano</t>
        </is>
      </c>
      <c r="B10" t="n">
        <v>50128868</v>
      </c>
      <c r="C10" s="2" t="n">
        <v>45499</v>
      </c>
      <c r="D10" t="inlineStr">
        <is>
          <t>Calle 154 # 24B-43 Sur, 156978, Chiquinquirá, Boyacá</t>
        </is>
      </c>
      <c r="E10" t="inlineStr">
        <is>
          <t>icardona@example.com</t>
        </is>
      </c>
      <c r="F10" t="inlineStr">
        <is>
          <t>(+57) 609 210 22 47</t>
        </is>
      </c>
      <c r="G10" t="inlineStr">
        <is>
          <t>Jorge Javier Villegas</t>
        </is>
      </c>
    </row>
    <row r="11">
      <c r="A11" t="inlineStr">
        <is>
          <t>Manuel Vargas</t>
        </is>
      </c>
      <c r="B11" t="n">
        <v>36102286</v>
      </c>
      <c r="C11" s="2" t="n">
        <v>45520</v>
      </c>
      <c r="D11" t="inlineStr">
        <is>
          <t>Diagonal 21 # 40-88 Este, 252811, Villagómez, Cundinamarca</t>
        </is>
      </c>
      <c r="E11" t="inlineStr">
        <is>
          <t>luzhurtado@example.com</t>
        </is>
      </c>
      <c r="F11" t="inlineStr">
        <is>
          <t>328 566 50 47</t>
        </is>
      </c>
      <c r="G11" t="inlineStr">
        <is>
          <t>Isabel Patiño Miranda</t>
        </is>
      </c>
    </row>
    <row r="12">
      <c r="A12" t="inlineStr">
        <is>
          <t>Gladys Sánchez</t>
        </is>
      </c>
      <c r="B12" t="n">
        <v>87255601</v>
      </c>
      <c r="C12" s="2" t="n">
        <v>45927</v>
      </c>
      <c r="D12" t="inlineStr">
        <is>
          <t>Carrera 87 # 9-64 Este, Apto. 84, 478362, Pivijay, Magdalena</t>
        </is>
      </c>
      <c r="E12" t="inlineStr">
        <is>
          <t>mendozadiana@example.org</t>
        </is>
      </c>
      <c r="F12" t="inlineStr">
        <is>
          <t>01 8007 708 511</t>
        </is>
      </c>
      <c r="G12" t="inlineStr">
        <is>
          <t>Jenny Alejandra Duarte</t>
        </is>
      </c>
    </row>
    <row r="13">
      <c r="A13" t="inlineStr">
        <is>
          <t>Vanesa Cano</t>
        </is>
      </c>
      <c r="B13" t="n">
        <v>97537303</v>
      </c>
      <c r="C13" s="2" t="n">
        <v>43075</v>
      </c>
      <c r="D13" t="inlineStr">
        <is>
          <t>Avenida Nariño # 5-5, 680574, Simacota, Santander</t>
        </is>
      </c>
      <c r="E13" t="inlineStr">
        <is>
          <t>eduardoquintero@example.org</t>
        </is>
      </c>
      <c r="F13" t="inlineStr">
        <is>
          <t>3108053178</t>
        </is>
      </c>
      <c r="G13" t="inlineStr">
        <is>
          <t>José Javier Restrepo</t>
        </is>
      </c>
    </row>
    <row r="14">
      <c r="A14" t="inlineStr">
        <is>
          <t>Luis Sánchez</t>
        </is>
      </c>
      <c r="B14" t="n">
        <v>75600584</v>
      </c>
      <c r="C14" s="2" t="n">
        <v>44810</v>
      </c>
      <c r="D14" t="inlineStr">
        <is>
          <t>Calle 82 # 9-80 Sur, 157176, Chiquinquirá, Boyacá</t>
        </is>
      </c>
      <c r="E14" t="inlineStr">
        <is>
          <t>juan83@example.net</t>
        </is>
      </c>
      <c r="F14" t="inlineStr">
        <is>
          <t>+573191525650</t>
        </is>
      </c>
      <c r="G14" t="inlineStr">
        <is>
          <t>Leidy María Calderón Vera</t>
        </is>
      </c>
    </row>
    <row r="15">
      <c r="A15" t="inlineStr">
        <is>
          <t>Sandra Mendoza</t>
        </is>
      </c>
      <c r="B15" t="n">
        <v>46182800</v>
      </c>
      <c r="C15" s="2" t="n">
        <v>43479</v>
      </c>
      <c r="D15" t="inlineStr">
        <is>
          <t>Cr. 189Z # 65R-27, 255431, Quetame, Cundinamarca</t>
        </is>
      </c>
      <c r="E15" t="inlineStr">
        <is>
          <t>renehoyos@example.net</t>
        </is>
      </c>
      <c r="F15" t="inlineStr">
        <is>
          <t>57 315 794 22 55</t>
        </is>
      </c>
      <c r="G15" t="inlineStr">
        <is>
          <t>Jenny María Duque Toro</t>
        </is>
      </c>
    </row>
    <row r="16">
      <c r="A16" t="inlineStr">
        <is>
          <t>Ángela Pinto</t>
        </is>
      </c>
      <c r="B16" t="n">
        <v>42640324</v>
      </c>
      <c r="C16" s="2" t="n">
        <v>43468</v>
      </c>
      <c r="D16" t="inlineStr">
        <is>
          <t>Av. carrera 4ª # 4-34, 057098, Giraldo, Antioquia</t>
        </is>
      </c>
      <c r="E16" t="inlineStr">
        <is>
          <t>omarpaez@example.org</t>
        </is>
      </c>
      <c r="F16" t="inlineStr">
        <is>
          <t>3021119118</t>
        </is>
      </c>
      <c r="G16" t="inlineStr">
        <is>
          <t>Alejandro Héctor Barrera</t>
        </is>
      </c>
    </row>
    <row r="17">
      <c r="A17" t="inlineStr">
        <is>
          <t>David Gómez</t>
        </is>
      </c>
      <c r="B17" t="n">
        <v>47888695</v>
      </c>
      <c r="C17" s="2" t="n">
        <v>45751</v>
      </c>
      <c r="D17" t="inlineStr">
        <is>
          <t>Cl. 166R # 1T-9, Oficina 204, 731705, San Sebastián de Mariquita, Tolima</t>
        </is>
      </c>
      <c r="E17" t="inlineStr">
        <is>
          <t>alvaroorjuela@example.net</t>
        </is>
      </c>
      <c r="F17" t="inlineStr">
        <is>
          <t>57 300 135 07 06</t>
        </is>
      </c>
      <c r="G17" t="inlineStr">
        <is>
          <t>Cecilia Leonor Sánchez</t>
        </is>
      </c>
    </row>
    <row r="18">
      <c r="A18" t="inlineStr">
        <is>
          <t>Victoria Trujillo</t>
        </is>
      </c>
      <c r="B18" t="n">
        <v>30563541</v>
      </c>
      <c r="C18" s="2" t="n">
        <v>42482</v>
      </c>
      <c r="D18" t="inlineStr">
        <is>
          <t>Cl. 129W Bis L # 4-1, Apartamento 335, 688840, Guavatá, Santander</t>
        </is>
      </c>
      <c r="E18" t="inlineStr">
        <is>
          <t>munozaugusto@example.net</t>
        </is>
      </c>
      <c r="F18" t="inlineStr">
        <is>
          <t>(+57)6047236139</t>
        </is>
      </c>
      <c r="G18" t="inlineStr">
        <is>
          <t>Jesús Rojas</t>
        </is>
      </c>
    </row>
    <row r="19">
      <c r="A19" t="inlineStr">
        <is>
          <t>Kevin Gaviria</t>
        </is>
      </c>
      <c r="B19" t="n">
        <v>28053475</v>
      </c>
      <c r="C19" s="2" t="n">
        <v>45380</v>
      </c>
      <c r="D19" t="inlineStr">
        <is>
          <t>Cr. 147V # 3-48 Sur, Etapa 1 apartamento 907, 056318, Rionegro, Antioquia</t>
        </is>
      </c>
      <c r="E19" t="inlineStr">
        <is>
          <t>grestrepo@example.org</t>
        </is>
      </c>
      <c r="F19" t="inlineStr">
        <is>
          <t>01 8002 862 150</t>
        </is>
      </c>
      <c r="G19" t="inlineStr">
        <is>
          <t>María González</t>
        </is>
      </c>
    </row>
    <row r="20">
      <c r="A20" t="inlineStr">
        <is>
          <t>Óscar Rosero</t>
        </is>
      </c>
      <c r="B20" t="n">
        <v>77386310</v>
      </c>
      <c r="C20" s="2" t="n">
        <v>44561</v>
      </c>
      <c r="D20" t="inlineStr">
        <is>
          <t>Carrera 141V # 3L-92 Sur, 479318, Ariguaní, Magdalena</t>
        </is>
      </c>
      <c r="E20" t="inlineStr">
        <is>
          <t>jhon53@example.net</t>
        </is>
      </c>
      <c r="F20" t="inlineStr">
        <is>
          <t>(+57) 309 564 87 80</t>
        </is>
      </c>
      <c r="G20" t="inlineStr">
        <is>
          <t>Carlos Alberto Bolívar Jaramillo</t>
        </is>
      </c>
    </row>
    <row r="21">
      <c r="A21" t="inlineStr">
        <is>
          <t>Erika Murcia</t>
        </is>
      </c>
      <c r="B21" t="n">
        <v>33923652</v>
      </c>
      <c r="C21" s="2" t="n">
        <v>42469</v>
      </c>
      <c r="D21" t="inlineStr">
        <is>
          <t>Dg. 54 # 95-1 Este, 050926, Amagá, Antioquia</t>
        </is>
      </c>
      <c r="E21" t="inlineStr">
        <is>
          <t>jesus68@example.org</t>
        </is>
      </c>
      <c r="F21" t="inlineStr">
        <is>
          <t>+57 317 836 72 36</t>
        </is>
      </c>
      <c r="G21" t="inlineStr">
        <is>
          <t>Miguel Toro</t>
        </is>
      </c>
    </row>
    <row r="22">
      <c r="A22" t="inlineStr">
        <is>
          <t>Vladimir Gutiérrez</t>
        </is>
      </c>
      <c r="B22" t="n">
        <v>33091565</v>
      </c>
      <c r="C22" s="2" t="n">
        <v>45100</v>
      </c>
      <c r="D22" t="inlineStr">
        <is>
          <t>Carrera 5P # 10-83 Sur, 259086, La Palma, Cundinamarca</t>
        </is>
      </c>
      <c r="E22" t="inlineStr">
        <is>
          <t>juana97@example.net</t>
        </is>
      </c>
      <c r="F22" t="inlineStr">
        <is>
          <t>9993694</t>
        </is>
      </c>
      <c r="G22" t="inlineStr">
        <is>
          <t>Socorro Melissa Guerrero</t>
        </is>
      </c>
    </row>
    <row r="23">
      <c r="A23" t="inlineStr">
        <is>
          <t>Yulieth Roa</t>
        </is>
      </c>
      <c r="B23" t="n">
        <v>22212321</v>
      </c>
      <c r="C23" s="2" t="n">
        <v>45612</v>
      </c>
      <c r="D23" t="inlineStr">
        <is>
          <t>Cr. 80 # 7-2 Sur, Torre 3 apartamento 880, 476454, El Retén, Magdalena</t>
        </is>
      </c>
      <c r="E23" t="inlineStr">
        <is>
          <t>riverafernando@example.net</t>
        </is>
      </c>
      <c r="F23" t="inlineStr">
        <is>
          <t>+573227930243</t>
        </is>
      </c>
      <c r="G23" t="inlineStr">
        <is>
          <t>Alba Gutiérrez</t>
        </is>
      </c>
    </row>
    <row r="24">
      <c r="A24" t="inlineStr">
        <is>
          <t>Esteban Hernández</t>
        </is>
      </c>
      <c r="B24" t="n">
        <v>66193380</v>
      </c>
      <c r="C24" s="2" t="n">
        <v>42114</v>
      </c>
      <c r="D24" t="inlineStr">
        <is>
          <t>Cr. 9ª # 4-11 Sur, Local 91, 236071, San Andrés de Sotavento, Córdoba</t>
        </is>
      </c>
      <c r="E24" t="inlineStr">
        <is>
          <t>mariamorales@example.net</t>
        </is>
      </c>
      <c r="F24" t="inlineStr">
        <is>
          <t>7481008</t>
        </is>
      </c>
      <c r="G24" t="inlineStr">
        <is>
          <t>Michael Londoño</t>
        </is>
      </c>
    </row>
    <row r="25">
      <c r="A25" t="inlineStr">
        <is>
          <t>Frank Herrera</t>
        </is>
      </c>
      <c r="B25" t="n">
        <v>90768398</v>
      </c>
      <c r="C25" s="2" t="n">
        <v>43506</v>
      </c>
      <c r="D25" t="inlineStr">
        <is>
          <t>Av. calle 178 # 16-4 Este, 661210, Quinchía, Risaralda</t>
        </is>
      </c>
      <c r="E25" t="inlineStr">
        <is>
          <t>emilioherrera@example.org</t>
        </is>
      </c>
      <c r="F25" t="inlineStr">
        <is>
          <t>573228744954</t>
        </is>
      </c>
      <c r="G25" t="inlineStr">
        <is>
          <t>Jair Muñoz</t>
        </is>
      </c>
    </row>
    <row r="26">
      <c r="A26" t="inlineStr">
        <is>
          <t>Alejandro Cortés</t>
        </is>
      </c>
      <c r="B26" t="n">
        <v>69194762</v>
      </c>
      <c r="C26" s="2" t="n">
        <v>45519</v>
      </c>
      <c r="D26" t="inlineStr">
        <is>
          <t>Avenida Hernández # 3-6 Sur, Bodega 78, 059914, Valparaíso, Antioquia</t>
        </is>
      </c>
      <c r="E26" t="inlineStr">
        <is>
          <t>lopezguillermo@example.com</t>
        </is>
      </c>
      <c r="F26" t="inlineStr">
        <is>
          <t>+57 602 335 21 98</t>
        </is>
      </c>
      <c r="G26" t="inlineStr">
        <is>
          <t>María Cruz Pérez</t>
        </is>
      </c>
    </row>
    <row r="27">
      <c r="A27" t="inlineStr">
        <is>
          <t>Pablo Quintero</t>
        </is>
      </c>
      <c r="B27" t="n">
        <v>40512764</v>
      </c>
      <c r="C27" s="2" t="n">
        <v>45612</v>
      </c>
      <c r="D27" t="inlineStr">
        <is>
          <t>Carrera 193 # 64-7 Este, 731201, Ataco, Tolima</t>
        </is>
      </c>
      <c r="E27" t="inlineStr">
        <is>
          <t>juliethmorales@example.org</t>
        </is>
      </c>
      <c r="F27" t="inlineStr">
        <is>
          <t>(+57)3085860023</t>
        </is>
      </c>
      <c r="G27" t="inlineStr">
        <is>
          <t>Hernando Pérez Sánchez</t>
        </is>
      </c>
    </row>
    <row r="28">
      <c r="A28" t="inlineStr">
        <is>
          <t>Deisy Hernández</t>
        </is>
      </c>
      <c r="B28" t="n">
        <v>17318934</v>
      </c>
      <c r="C28" s="2" t="n">
        <v>42977</v>
      </c>
      <c r="D28" t="inlineStr">
        <is>
          <t>Cl. 1W # 1-8 Sur, 057667, El Bagre, Antioquia</t>
        </is>
      </c>
      <c r="E28" t="inlineStr">
        <is>
          <t>riveraomaira@example.org</t>
        </is>
      </c>
      <c r="F28" t="inlineStr">
        <is>
          <t>602 638 01 97</t>
        </is>
      </c>
      <c r="G28" t="inlineStr">
        <is>
          <t>Nohora Luz Rojas</t>
        </is>
      </c>
    </row>
    <row r="29">
      <c r="A29" t="inlineStr">
        <is>
          <t>Anyi García</t>
        </is>
      </c>
      <c r="B29" t="n">
        <v>16534024</v>
      </c>
      <c r="C29" s="2" t="n">
        <v>42612</v>
      </c>
      <c r="D29" t="inlineStr">
        <is>
          <t>Calle 1ª # 94-3 Sur, 052461, Anzá, Antioquia</t>
        </is>
      </c>
      <c r="E29" t="inlineStr">
        <is>
          <t>carlosjimenez@example.org</t>
        </is>
      </c>
      <c r="F29" t="inlineStr">
        <is>
          <t>(+57)3232183064</t>
        </is>
      </c>
      <c r="G29" t="inlineStr">
        <is>
          <t>Isabel María Díaz González</t>
        </is>
      </c>
    </row>
    <row r="30">
      <c r="A30" t="inlineStr">
        <is>
          <t>Luis Galeano</t>
        </is>
      </c>
      <c r="B30" t="n">
        <v>21000608</v>
      </c>
      <c r="C30" s="2" t="n">
        <v>42229</v>
      </c>
      <c r="D30" t="inlineStr">
        <is>
          <t>Cr. 2A Bis S # 25-7, 767918, El Águila, Valle del Cauca</t>
        </is>
      </c>
      <c r="E30" t="inlineStr">
        <is>
          <t>jairobarrera@example.org</t>
        </is>
      </c>
      <c r="F30" t="inlineStr">
        <is>
          <t>+573058724530</t>
        </is>
      </c>
      <c r="G30" t="inlineStr">
        <is>
          <t>Miguel Durán</t>
        </is>
      </c>
    </row>
    <row r="31">
      <c r="A31" t="inlineStr">
        <is>
          <t>Jorge Velásquez</t>
        </is>
      </c>
      <c r="B31" t="n">
        <v>48860567</v>
      </c>
      <c r="C31" s="2" t="n">
        <v>42550</v>
      </c>
      <c r="D31" t="inlineStr">
        <is>
          <t>Avenida Caldas # 26-4 Este, Casa 8, 177222, Riosucio, Caldas</t>
        </is>
      </c>
      <c r="E31" t="inlineStr">
        <is>
          <t>paula33@example.org</t>
        </is>
      </c>
      <c r="F31" t="inlineStr">
        <is>
          <t>57 311 959 93 04</t>
        </is>
      </c>
      <c r="G31" t="inlineStr">
        <is>
          <t>Orlando Josué Giraldo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E2" sqref="E2:E31"/>
    </sheetView>
  </sheetViews>
  <sheetFormatPr baseColWidth="10" defaultColWidth="9.140625" defaultRowHeight="15"/>
  <cols>
    <col width="21.42578125" bestFit="1" customWidth="1" min="1" max="1"/>
    <col width="15.42578125" bestFit="1" customWidth="1" min="2" max="2"/>
    <col width="19.5703125" bestFit="1" customWidth="1" min="3" max="3"/>
    <col width="31.140625" bestFit="1" customWidth="1" min="5" max="5"/>
  </cols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FECHA_NACIMIENTO</t>
        </is>
      </c>
      <c r="D1" s="1" t="inlineStr">
        <is>
          <t>DIRECCION</t>
        </is>
      </c>
      <c r="E1" s="1" t="inlineStr">
        <is>
          <t>CORREO</t>
        </is>
      </c>
      <c r="F1" s="1" t="inlineStr">
        <is>
          <t>TELEFONO</t>
        </is>
      </c>
      <c r="G1" s="1" t="inlineStr">
        <is>
          <t>ACUDIENTE</t>
        </is>
      </c>
    </row>
    <row r="2">
      <c r="A2" t="inlineStr">
        <is>
          <t>María Torres</t>
        </is>
      </c>
      <c r="B2" t="n">
        <v>90486415</v>
      </c>
      <c r="C2" s="2" t="n">
        <v>42153</v>
      </c>
      <c r="D2" t="inlineStr">
        <is>
          <t>Cr. 80V # 2K-85 Este, Local 375, 529802, Roberto Payán, Nariño</t>
        </is>
      </c>
      <c r="E2" t="inlineStr">
        <is>
          <t>iquintero@example.com</t>
        </is>
      </c>
      <c r="F2" t="inlineStr">
        <is>
          <t>608 334 19 77</t>
        </is>
      </c>
      <c r="G2" t="inlineStr">
        <is>
          <t>María Sánchez</t>
        </is>
      </c>
    </row>
    <row r="3">
      <c r="A3" t="inlineStr">
        <is>
          <t>Mauricio Polo</t>
        </is>
      </c>
      <c r="B3" t="n">
        <v>36522739</v>
      </c>
      <c r="C3" s="2" t="n">
        <v>44261</v>
      </c>
      <c r="D3" t="inlineStr">
        <is>
          <t>Carrera 62 # 2-5 Sur, 255820, Gachalá, Cundinamarca</t>
        </is>
      </c>
      <c r="E3" t="inlineStr">
        <is>
          <t>patricia57@example.com</t>
        </is>
      </c>
      <c r="F3" t="inlineStr">
        <is>
          <t>+57 320 399 35 08</t>
        </is>
      </c>
      <c r="G3" t="inlineStr">
        <is>
          <t>Carlos Carlos Espinosa Mosquera</t>
        </is>
      </c>
    </row>
    <row r="4">
      <c r="A4" t="inlineStr">
        <is>
          <t>Alicia Flórez</t>
        </is>
      </c>
      <c r="B4" t="n">
        <v>54099949</v>
      </c>
      <c r="C4" s="2" t="n">
        <v>43984</v>
      </c>
      <c r="D4" t="inlineStr">
        <is>
          <t>Avenida carrera 1ª # 3-27, Apto. 38, 683305, Galán, Santander</t>
        </is>
      </c>
      <c r="E4" t="inlineStr">
        <is>
          <t>alba94@example.com</t>
        </is>
      </c>
      <c r="F4" t="inlineStr">
        <is>
          <t>6073983595</t>
        </is>
      </c>
      <c r="G4" t="inlineStr">
        <is>
          <t>Fredy Murcia</t>
        </is>
      </c>
    </row>
    <row r="5">
      <c r="A5" t="inlineStr">
        <is>
          <t>Danilo Díaz</t>
        </is>
      </c>
      <c r="B5" t="n">
        <v>38921697</v>
      </c>
      <c r="C5" s="2" t="n">
        <v>42011</v>
      </c>
      <c r="D5" t="inlineStr">
        <is>
          <t>Cr. 21 # 8O-29, Torre 2 apartamento 4, 761613, Guadalajara de Buga, Valle del Cauca</t>
        </is>
      </c>
      <c r="E5" t="inlineStr">
        <is>
          <t>menajairo@example.org</t>
        </is>
      </c>
      <c r="F5" t="inlineStr">
        <is>
          <t>57 314 653 60 91</t>
        </is>
      </c>
      <c r="G5" t="inlineStr">
        <is>
          <t>Fabián César Rodríguez Herrera</t>
        </is>
      </c>
    </row>
    <row r="6">
      <c r="A6" t="inlineStr">
        <is>
          <t>Andrés Núñez</t>
        </is>
      </c>
      <c r="B6" t="n">
        <v>76490220</v>
      </c>
      <c r="C6" s="2" t="n">
        <v>45651</v>
      </c>
      <c r="D6" t="inlineStr">
        <is>
          <t>Calle 31 # 5-35, Local 44, 687886, Ocamonte, Santander</t>
        </is>
      </c>
      <c r="E6" t="inlineStr">
        <is>
          <t>germanperdomo@example.com</t>
        </is>
      </c>
      <c r="F6" t="inlineStr">
        <is>
          <t>(+57) 302 188 04 20</t>
        </is>
      </c>
      <c r="G6" t="inlineStr">
        <is>
          <t>Elizabeth Cristina Camacho</t>
        </is>
      </c>
    </row>
    <row r="7">
      <c r="A7" t="inlineStr">
        <is>
          <t>Henry López</t>
        </is>
      </c>
      <c r="B7" t="n">
        <v>11294876</v>
      </c>
      <c r="C7" s="2" t="n">
        <v>44079</v>
      </c>
      <c r="D7" t="inlineStr">
        <is>
          <t>Cl. 151 Este # 4-88 Este, 056905, Cocorná, Antioquia</t>
        </is>
      </c>
      <c r="E7" t="inlineStr">
        <is>
          <t>qgiraldo@example.org</t>
        </is>
      </c>
      <c r="F7" t="inlineStr">
        <is>
          <t>018001861254</t>
        </is>
      </c>
      <c r="G7" t="inlineStr">
        <is>
          <t>Patricia Narváez Jiménez</t>
        </is>
      </c>
    </row>
    <row r="8">
      <c r="A8" t="inlineStr">
        <is>
          <t>Claudia Ortega</t>
        </is>
      </c>
      <c r="B8" t="n">
        <v>69002544</v>
      </c>
      <c r="C8" s="2" t="n">
        <v>45839</v>
      </c>
      <c r="D8" t="inlineStr">
        <is>
          <t>Calle 29 # 29-19 Sur, Etapa 9 apartamento 34, 707685, Sucre, Sucre</t>
        </is>
      </c>
      <c r="E8" t="inlineStr">
        <is>
          <t>liliana35@example.com</t>
        </is>
      </c>
      <c r="F8" t="inlineStr">
        <is>
          <t>+573224087231</t>
        </is>
      </c>
      <c r="G8" t="inlineStr">
        <is>
          <t>Marcela Janeth Vásquez García</t>
        </is>
      </c>
    </row>
    <row r="9">
      <c r="A9" t="inlineStr">
        <is>
          <t>Claudia Figueroa</t>
        </is>
      </c>
      <c r="B9" t="n">
        <v>38895532</v>
      </c>
      <c r="C9" s="2" t="n">
        <v>45826</v>
      </c>
      <c r="D9" t="inlineStr">
        <is>
          <t>Av. carrera 6ª # 82Z-81, Casa 7, 134527, Regidor, Bolívar</t>
        </is>
      </c>
      <c r="E9" t="inlineStr">
        <is>
          <t>ardilamarcela@example.com</t>
        </is>
      </c>
      <c r="F9" t="inlineStr">
        <is>
          <t>(+57)6066228100</t>
        </is>
      </c>
      <c r="G9" t="inlineStr">
        <is>
          <t>Andrea Luisa Mejía</t>
        </is>
      </c>
    </row>
    <row r="10">
      <c r="A10" t="inlineStr">
        <is>
          <t>Carolina Caro</t>
        </is>
      </c>
      <c r="B10" t="n">
        <v>87558567</v>
      </c>
      <c r="C10" s="2" t="n">
        <v>44908</v>
      </c>
      <c r="D10" t="inlineStr">
        <is>
          <t>Calle 19 # 52C-1 Este, 197796, Jambaló, Cauca</t>
        </is>
      </c>
      <c r="E10" t="inlineStr">
        <is>
          <t>buitragojuan@example.net</t>
        </is>
      </c>
      <c r="F10" t="inlineStr">
        <is>
          <t>(+57) 306 319 51 83</t>
        </is>
      </c>
      <c r="G10" t="inlineStr">
        <is>
          <t>Jorge Dairo Hernández Ramírez</t>
        </is>
      </c>
    </row>
    <row r="11">
      <c r="A11" t="inlineStr">
        <is>
          <t>Fabián Henao</t>
        </is>
      </c>
      <c r="B11" t="n">
        <v>72718750</v>
      </c>
      <c r="C11" s="2" t="n">
        <v>43825</v>
      </c>
      <c r="D11" t="inlineStr">
        <is>
          <t>Calle 174 # 84-6 Este, Apartamento 9, 501199, Puerto Rico, Meta</t>
        </is>
      </c>
      <c r="E11" t="inlineStr">
        <is>
          <t>romeromaria@example.org</t>
        </is>
      </c>
      <c r="F11" t="inlineStr">
        <is>
          <t>57 608 669 35 25</t>
        </is>
      </c>
      <c r="G11" t="inlineStr">
        <is>
          <t>Gabriel Ortiz Díaz</t>
        </is>
      </c>
    </row>
    <row r="12">
      <c r="A12" t="inlineStr">
        <is>
          <t>Johan Pineda</t>
        </is>
      </c>
      <c r="B12" t="n">
        <v>29144983</v>
      </c>
      <c r="C12" s="2" t="n">
        <v>43729</v>
      </c>
      <c r="D12" t="inlineStr">
        <is>
          <t>Avenida Guachetá # 4-5 Sur, 257065, Cogua, Cundinamarca</t>
        </is>
      </c>
      <c r="E12" t="inlineStr">
        <is>
          <t>quinterocampo@example.com</t>
        </is>
      </c>
      <c r="F12" t="inlineStr">
        <is>
          <t>573150662718</t>
        </is>
      </c>
      <c r="G12" t="inlineStr">
        <is>
          <t>Fidel Galeano Torres</t>
        </is>
      </c>
    </row>
    <row r="13">
      <c r="A13" t="inlineStr">
        <is>
          <t>Martha Ospina</t>
        </is>
      </c>
      <c r="B13" t="n">
        <v>38245727</v>
      </c>
      <c r="C13" s="2" t="n">
        <v>45339</v>
      </c>
      <c r="D13" t="inlineStr">
        <is>
          <t>Cl. 40 # 8G-9 Este, Torre 9 apartamento 30, 254118, Fosca, Cundinamarca</t>
        </is>
      </c>
      <c r="E13" t="inlineStr">
        <is>
          <t>hernandezjose@example.org</t>
        </is>
      </c>
      <c r="F13" t="inlineStr">
        <is>
          <t>+57 602 713 44 42</t>
        </is>
      </c>
      <c r="G13" t="inlineStr">
        <is>
          <t>María Montoya Meza</t>
        </is>
      </c>
    </row>
    <row r="14">
      <c r="A14" t="inlineStr">
        <is>
          <t>Liliana Martínez</t>
        </is>
      </c>
      <c r="B14" t="n">
        <v>35084917</v>
      </c>
      <c r="C14" s="2" t="n">
        <v>42900</v>
      </c>
      <c r="D14" t="inlineStr">
        <is>
          <t>Calle 27 # 96Z-45 Este, Bodega 6, 157834, Toca, Boyacá</t>
        </is>
      </c>
      <c r="E14" t="inlineStr">
        <is>
          <t>enriquemosquera@example.com</t>
        </is>
      </c>
      <c r="F14" t="inlineStr">
        <is>
          <t>573116430383</t>
        </is>
      </c>
      <c r="G14" t="inlineStr">
        <is>
          <t>Liliana Adriana López</t>
        </is>
      </c>
    </row>
    <row r="15">
      <c r="A15" t="inlineStr">
        <is>
          <t>Jesús García</t>
        </is>
      </c>
      <c r="B15" t="n">
        <v>99072505</v>
      </c>
      <c r="C15" s="2" t="n">
        <v>42235</v>
      </c>
      <c r="D15" t="inlineStr">
        <is>
          <t>Carrera 75 # 61-4 Este, 862079, San Francisco, Putumayo</t>
        </is>
      </c>
      <c r="E15" t="inlineStr">
        <is>
          <t>lopezvictor@example.org</t>
        </is>
      </c>
      <c r="F15" t="inlineStr">
        <is>
          <t>+57 607 947 02 89</t>
        </is>
      </c>
      <c r="G15" t="inlineStr">
        <is>
          <t>Alba Hernández</t>
        </is>
      </c>
    </row>
    <row r="16">
      <c r="A16" t="inlineStr">
        <is>
          <t>Franklin Salazar</t>
        </is>
      </c>
      <c r="B16" t="n">
        <v>43137873</v>
      </c>
      <c r="C16" s="2" t="n">
        <v>44078</v>
      </c>
      <c r="D16" t="inlineStr">
        <is>
          <t>Cr. 40A Este # 30-1 Este, 150974, Tibasosa, Boyacá</t>
        </is>
      </c>
      <c r="E16" t="inlineStr">
        <is>
          <t>gomezsandra@example.org</t>
        </is>
      </c>
      <c r="F16" t="inlineStr">
        <is>
          <t>5275938</t>
        </is>
      </c>
      <c r="G16" t="inlineStr">
        <is>
          <t>Lucía Zulma Orozco</t>
        </is>
      </c>
    </row>
    <row r="17">
      <c r="A17" t="inlineStr">
        <is>
          <t>Juan Arrieta</t>
        </is>
      </c>
      <c r="B17" t="n">
        <v>33645589</v>
      </c>
      <c r="C17" s="2" t="n">
        <v>45252</v>
      </c>
      <c r="D17" t="inlineStr">
        <is>
          <t>Av. César Augusto Vera Aguirre # 1H-64, Torre 3 apartamento 23, 231727, Puerto Escondido, Córdoba</t>
        </is>
      </c>
      <c r="E17" t="inlineStr">
        <is>
          <t>alejandrodiaz@example.com</t>
        </is>
      </c>
      <c r="F17" t="inlineStr">
        <is>
          <t>018006682604</t>
        </is>
      </c>
      <c r="G17" t="inlineStr">
        <is>
          <t>María Cruz</t>
        </is>
      </c>
    </row>
    <row r="18">
      <c r="A18" t="inlineStr">
        <is>
          <t>Dina Morales</t>
        </is>
      </c>
      <c r="B18" t="n">
        <v>25590532</v>
      </c>
      <c r="C18" s="2" t="n">
        <v>44516</v>
      </c>
      <c r="D18" t="inlineStr">
        <is>
          <t>Cl. 191S # 31-7 Este, Bodega 382, 473345, Chivolo, Magdalena</t>
        </is>
      </c>
      <c r="E18" t="inlineStr">
        <is>
          <t>hildagiraldo@example.com</t>
        </is>
      </c>
      <c r="F18" t="inlineStr">
        <is>
          <t>306 553 83 24</t>
        </is>
      </c>
      <c r="G18" t="inlineStr">
        <is>
          <t>Juan Juan Marín</t>
        </is>
      </c>
    </row>
    <row r="19">
      <c r="A19" t="inlineStr">
        <is>
          <t>Carlos Quiroga</t>
        </is>
      </c>
      <c r="B19" t="n">
        <v>48151807</v>
      </c>
      <c r="C19" s="2" t="n">
        <v>42022</v>
      </c>
      <c r="D19" t="inlineStr">
        <is>
          <t>Carrera 93 # 6-2 Sur, 176735, Risaralda, Caldas</t>
        </is>
      </c>
      <c r="E19" t="inlineStr">
        <is>
          <t>ncastro@example.com</t>
        </is>
      </c>
      <c r="F19" t="inlineStr">
        <is>
          <t>3005327495</t>
        </is>
      </c>
      <c r="G19" t="inlineStr">
        <is>
          <t>Diana Fuentes Montoya</t>
        </is>
      </c>
    </row>
    <row r="20">
      <c r="A20" t="inlineStr">
        <is>
          <t>María Álvarez</t>
        </is>
      </c>
      <c r="B20" t="n">
        <v>38662646</v>
      </c>
      <c r="C20" s="2" t="n">
        <v>43551</v>
      </c>
      <c r="D20" t="inlineStr">
        <is>
          <t>Transversal 63 # 88-18 Este, Apartamento 43, 150613, Tinjacá, Boyacá</t>
        </is>
      </c>
      <c r="E20" t="inlineStr">
        <is>
          <t>thernandez@example.net</t>
        </is>
      </c>
      <c r="F20" t="inlineStr">
        <is>
          <t>3179360767</t>
        </is>
      </c>
      <c r="G20" t="inlineStr">
        <is>
          <t>Daniela Rodríguez Vargas</t>
        </is>
      </c>
    </row>
    <row r="21">
      <c r="A21" t="inlineStr">
        <is>
          <t>Henry Duarte</t>
        </is>
      </c>
      <c r="B21" t="n">
        <v>55119713</v>
      </c>
      <c r="C21" s="2" t="n">
        <v>42977</v>
      </c>
      <c r="D21" t="inlineStr">
        <is>
          <t>Av. carrera 136 # 88-32 Sur, 139685, Morales, Bolívar</t>
        </is>
      </c>
      <c r="E21" t="inlineStr">
        <is>
          <t>imontoya@example.org</t>
        </is>
      </c>
      <c r="F21" t="inlineStr">
        <is>
          <t>+573211675403</t>
        </is>
      </c>
      <c r="G21" t="inlineStr">
        <is>
          <t>Silvia Rubiela Posada</t>
        </is>
      </c>
    </row>
    <row r="22">
      <c r="A22" t="inlineStr">
        <is>
          <t>Luis Mejía</t>
        </is>
      </c>
      <c r="B22" t="n">
        <v>66510139</v>
      </c>
      <c r="C22" s="2" t="n">
        <v>44130</v>
      </c>
      <c r="D22" t="inlineStr">
        <is>
          <t>Transversal 2H Sur # 4-1 Sur, 732137, Piedras, Tolima</t>
        </is>
      </c>
      <c r="E22" t="inlineStr">
        <is>
          <t>duquegloria@example.org</t>
        </is>
      </c>
      <c r="F22" t="inlineStr">
        <is>
          <t>4455113</t>
        </is>
      </c>
      <c r="G22" t="inlineStr">
        <is>
          <t>Yulieth Rosa Valencia</t>
        </is>
      </c>
    </row>
    <row r="23">
      <c r="A23" t="inlineStr">
        <is>
          <t>Fernanda Murillo</t>
        </is>
      </c>
      <c r="B23" t="n">
        <v>21086908</v>
      </c>
      <c r="C23" s="2" t="n">
        <v>42225</v>
      </c>
      <c r="D23" t="inlineStr">
        <is>
          <t>Calle 96 # 56C-8 Sur, Etapa 5 apartamento 95, 253660, Nilo, Cundinamarca</t>
        </is>
      </c>
      <c r="E23" t="inlineStr">
        <is>
          <t>alberto55@example.com</t>
        </is>
      </c>
      <c r="F23" t="inlineStr">
        <is>
          <t>(+57) 304 560 74 88</t>
        </is>
      </c>
      <c r="G23" t="inlineStr">
        <is>
          <t>Daniela Daniela Solano</t>
        </is>
      </c>
    </row>
    <row r="24">
      <c r="A24" t="inlineStr">
        <is>
          <t>David Perdomo</t>
        </is>
      </c>
      <c r="B24" t="n">
        <v>91467426</v>
      </c>
      <c r="C24" s="2" t="n">
        <v>44928</v>
      </c>
      <c r="D24" t="inlineStr">
        <is>
          <t>Carrera 4ª # 19-2, Apartamento 14, 471140, Guamal, Magdalena</t>
        </is>
      </c>
      <c r="E24" t="inlineStr">
        <is>
          <t>sortiz@example.net</t>
        </is>
      </c>
      <c r="F24" t="inlineStr">
        <is>
          <t>2893519</t>
        </is>
      </c>
      <c r="G24" t="inlineStr">
        <is>
          <t>Javier Osorio</t>
        </is>
      </c>
    </row>
    <row r="25">
      <c r="A25" t="inlineStr">
        <is>
          <t>María Soto</t>
        </is>
      </c>
      <c r="B25" t="n">
        <v>97829364</v>
      </c>
      <c r="C25" s="2" t="n">
        <v>44125</v>
      </c>
      <c r="D25" t="inlineStr">
        <is>
          <t>Cl. 45 # 63-8 Este, Etapa 6 apartamento 7, 680024, Piedecuesta, Santander</t>
        </is>
      </c>
      <c r="E25" t="inlineStr">
        <is>
          <t>natalydiaz@example.net</t>
        </is>
      </c>
      <c r="F25" t="inlineStr">
        <is>
          <t>57 609 912 67 23</t>
        </is>
      </c>
      <c r="G25" t="inlineStr">
        <is>
          <t>Victoria Yenny Pérez García</t>
        </is>
      </c>
    </row>
    <row r="26">
      <c r="A26" t="inlineStr">
        <is>
          <t>Enrique Álvarez</t>
        </is>
      </c>
      <c r="B26" t="n">
        <v>87799512</v>
      </c>
      <c r="C26" s="2" t="n">
        <v>43791</v>
      </c>
      <c r="D26" t="inlineStr">
        <is>
          <t>Cl. 12 # 2Q-39, 209525, Astrea, Cesar</t>
        </is>
      </c>
      <c r="E26" t="inlineStr">
        <is>
          <t>mejiamiriam@example.com</t>
        </is>
      </c>
      <c r="F26" t="inlineStr">
        <is>
          <t>57 327 902 34 54</t>
        </is>
      </c>
      <c r="G26" t="inlineStr">
        <is>
          <t>Cristina Espinosa</t>
        </is>
      </c>
    </row>
    <row r="27">
      <c r="A27" t="inlineStr">
        <is>
          <t>Dolores Suárez</t>
        </is>
      </c>
      <c r="B27" t="n">
        <v>51500640</v>
      </c>
      <c r="C27" s="2" t="n">
        <v>44787</v>
      </c>
      <c r="D27" t="inlineStr">
        <is>
          <t>Dg. 82U # 1X-62, Etapa 7 apartamento 228, 681306, Cabrera, Santander</t>
        </is>
      </c>
      <c r="E27" t="inlineStr">
        <is>
          <t>gonzalezpatricia@example.net</t>
        </is>
      </c>
      <c r="F27" t="inlineStr">
        <is>
          <t>+573295439651</t>
        </is>
      </c>
      <c r="G27" t="inlineStr">
        <is>
          <t>Luz Leal Jiménez</t>
        </is>
      </c>
    </row>
    <row r="28">
      <c r="A28" t="inlineStr">
        <is>
          <t>Santos Muñoz</t>
        </is>
      </c>
      <c r="B28" t="n">
        <v>19421722</v>
      </c>
      <c r="C28" s="2" t="n">
        <v>42775</v>
      </c>
      <c r="D28" t="inlineStr">
        <is>
          <t>Cr. 9P # 2-86 Este, Etapa 1 apartamento 29, 185234, Valparaíso, Caquetá</t>
        </is>
      </c>
      <c r="E28" t="inlineStr">
        <is>
          <t>molinaoscar@example.org</t>
        </is>
      </c>
      <c r="F28" t="inlineStr">
        <is>
          <t>(+57)3025232319</t>
        </is>
      </c>
      <c r="G28" t="inlineStr">
        <is>
          <t>María Gloria Murillo Uribe</t>
        </is>
      </c>
    </row>
    <row r="29">
      <c r="A29" t="inlineStr">
        <is>
          <t>Faber Muñoz</t>
        </is>
      </c>
      <c r="B29" t="n">
        <v>80741388</v>
      </c>
      <c r="C29" s="2" t="n">
        <v>42285</v>
      </c>
      <c r="D29" t="inlineStr">
        <is>
          <t>Avenida carrera 113 # 1-40, Apartamento 979, 136488, Pinillos, Bolívar</t>
        </is>
      </c>
      <c r="E29" t="inlineStr">
        <is>
          <t>fernandoanaya@example.org</t>
        </is>
      </c>
      <c r="F29" t="inlineStr">
        <is>
          <t>573020430804</t>
        </is>
      </c>
      <c r="G29" t="inlineStr">
        <is>
          <t>Ruth Gloria Montenegro</t>
        </is>
      </c>
    </row>
    <row r="30">
      <c r="A30" t="inlineStr">
        <is>
          <t>Isabel Ramírez</t>
        </is>
      </c>
      <c r="B30" t="n">
        <v>49936667</v>
      </c>
      <c r="C30" s="2" t="n">
        <v>43964</v>
      </c>
      <c r="D30" t="inlineStr">
        <is>
          <t>Calle 22 # 15-5 Este, Apartamento 8, 152907, Tinjacá, Boyacá</t>
        </is>
      </c>
      <c r="E30" t="inlineStr">
        <is>
          <t>jessica56@example.com</t>
        </is>
      </c>
      <c r="F30" t="inlineStr">
        <is>
          <t>3274152033</t>
        </is>
      </c>
      <c r="G30" t="inlineStr">
        <is>
          <t>Janeth Lizeth Méndez</t>
        </is>
      </c>
    </row>
    <row r="31">
      <c r="A31" t="inlineStr">
        <is>
          <t>Mercedes Montenegro</t>
        </is>
      </c>
      <c r="B31" t="n">
        <v>92310444</v>
      </c>
      <c r="C31" s="2" t="n">
        <v>43193</v>
      </c>
      <c r="D31" t="inlineStr">
        <is>
          <t>Tr. 44 # 10-32 Sur, Casa 41, 254964, Gutiérrez, Cundinamarca</t>
        </is>
      </c>
      <c r="E31" t="inlineStr">
        <is>
          <t>xjimenez@example.net</t>
        </is>
      </c>
      <c r="F31" t="inlineStr">
        <is>
          <t>3147488240</t>
        </is>
      </c>
      <c r="G31" t="inlineStr">
        <is>
          <t>Alexis Alberto Vanegas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M14" sqref="M14"/>
    </sheetView>
  </sheetViews>
  <sheetFormatPr baseColWidth="10" defaultColWidth="9.140625" defaultRowHeight="15"/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FECHA_NACIMIENTO</t>
        </is>
      </c>
      <c r="D1" s="1" t="inlineStr">
        <is>
          <t>DIRECCION</t>
        </is>
      </c>
      <c r="E1" s="1" t="inlineStr">
        <is>
          <t>CORREO</t>
        </is>
      </c>
      <c r="F1" s="1" t="inlineStr">
        <is>
          <t>TELEFONO</t>
        </is>
      </c>
      <c r="G1" s="1" t="inlineStr">
        <is>
          <t>ACUDIENTE</t>
        </is>
      </c>
    </row>
    <row r="2">
      <c r="A2" t="inlineStr">
        <is>
          <t>María Jaramillo</t>
        </is>
      </c>
      <c r="B2" t="n">
        <v>65256527</v>
      </c>
      <c r="C2" s="2" t="n">
        <v>44137</v>
      </c>
      <c r="D2" t="inlineStr">
        <is>
          <t>Cl. 89G # 6X-7, Bodega 590, 232790, Lorica, Córdoba</t>
        </is>
      </c>
      <c r="E2" t="inlineStr">
        <is>
          <t>ana06@example.com</t>
        </is>
      </c>
      <c r="F2" t="inlineStr">
        <is>
          <t>018000305027</t>
        </is>
      </c>
      <c r="G2" t="inlineStr">
        <is>
          <t>Enrique Cuéllar</t>
        </is>
      </c>
    </row>
    <row r="3">
      <c r="A3" t="inlineStr">
        <is>
          <t>Adriana Fajardo</t>
        </is>
      </c>
      <c r="B3" t="n">
        <v>71928642</v>
      </c>
      <c r="C3" s="2" t="n">
        <v>43528</v>
      </c>
      <c r="D3" t="inlineStr">
        <is>
          <t>Carrera 38S # 64-21 Sur, 130833, San Jacinto, Bolívar</t>
        </is>
      </c>
      <c r="E3" t="inlineStr">
        <is>
          <t>riosvictor@example.org</t>
        </is>
      </c>
      <c r="F3" t="inlineStr">
        <is>
          <t>(+57) 319 949 75 48</t>
        </is>
      </c>
      <c r="G3" t="inlineStr">
        <is>
          <t>Harold Carlos López</t>
        </is>
      </c>
    </row>
    <row r="4">
      <c r="A4" t="inlineStr">
        <is>
          <t>Alberto Carvajal</t>
        </is>
      </c>
      <c r="B4" t="n">
        <v>56510167</v>
      </c>
      <c r="C4" s="2" t="n">
        <v>45702</v>
      </c>
      <c r="D4" t="inlineStr">
        <is>
          <t>Carrera 7U # 68-45 Sur, Casa 3, 708119, Caimito, Sucre</t>
        </is>
      </c>
      <c r="E4" t="inlineStr">
        <is>
          <t>garciahernando@example.com</t>
        </is>
      </c>
      <c r="F4" t="inlineStr">
        <is>
          <t>57 314 139 55 10</t>
        </is>
      </c>
      <c r="G4" t="inlineStr">
        <is>
          <t>Eduardo Prieto Valencia</t>
        </is>
      </c>
    </row>
    <row r="5">
      <c r="A5" t="inlineStr">
        <is>
          <t>Kelly Escobar</t>
        </is>
      </c>
      <c r="B5" t="n">
        <v>54514190</v>
      </c>
      <c r="C5" s="2" t="n">
        <v>45349</v>
      </c>
      <c r="D5" t="inlineStr">
        <is>
          <t>Dg. 81 # 3-75 Este, Torre 4 apartamento 580, 738277, Planadas, Tolima</t>
        </is>
      </c>
      <c r="E5" t="inlineStr">
        <is>
          <t>dayanagonzalez@example.com</t>
        </is>
      </c>
      <c r="F5" t="inlineStr">
        <is>
          <t>3062378362</t>
        </is>
      </c>
      <c r="G5" t="inlineStr">
        <is>
          <t>Javier Mesa</t>
        </is>
      </c>
    </row>
    <row r="6">
      <c r="A6" t="inlineStr">
        <is>
          <t>Tulia Vargas</t>
        </is>
      </c>
      <c r="B6" t="n">
        <v>68051808</v>
      </c>
      <c r="C6" s="2" t="n">
        <v>43231</v>
      </c>
      <c r="D6" t="inlineStr">
        <is>
          <t>Av. calle 1ª # 6-8, Local 355, 187348, Puerto Rico, Caquetá</t>
        </is>
      </c>
      <c r="E6" t="inlineStr">
        <is>
          <t>carolina65@example.org</t>
        </is>
      </c>
      <c r="F6" t="inlineStr">
        <is>
          <t>576085731777</t>
        </is>
      </c>
      <c r="G6" t="inlineStr">
        <is>
          <t>María Claudia Álvarez Quiroga</t>
        </is>
      </c>
    </row>
    <row r="7">
      <c r="A7" t="inlineStr">
        <is>
          <t>José Barragán</t>
        </is>
      </c>
      <c r="B7" t="n">
        <v>29370188</v>
      </c>
      <c r="C7" s="2" t="n">
        <v>45460</v>
      </c>
      <c r="D7" t="inlineStr">
        <is>
          <t>Calle 5ª # 17-23 Sur, Local 835, 685324, Chipatá, Santander</t>
        </is>
      </c>
      <c r="E7" t="inlineStr">
        <is>
          <t>xvasquez@example.com</t>
        </is>
      </c>
      <c r="F7" t="inlineStr">
        <is>
          <t>(+57)3180105786</t>
        </is>
      </c>
      <c r="G7" t="inlineStr">
        <is>
          <t>Campo Guerrero Guerrero</t>
        </is>
      </c>
    </row>
    <row r="8">
      <c r="A8" t="inlineStr">
        <is>
          <t>Eduardo Gutiérrez</t>
        </is>
      </c>
      <c r="B8" t="n">
        <v>68054755</v>
      </c>
      <c r="C8" s="2" t="n">
        <v>43008</v>
      </c>
      <c r="D8" t="inlineStr">
        <is>
          <t>Carrera 115 # 9C-65 Este, Apartamento 56, 158527, Monguí, Boyacá</t>
        </is>
      </c>
      <c r="E8" t="inlineStr">
        <is>
          <t>ymosquera@example.net</t>
        </is>
      </c>
      <c r="F8" t="inlineStr">
        <is>
          <t>+57 608 548 53 26</t>
        </is>
      </c>
      <c r="G8" t="inlineStr">
        <is>
          <t>Paula Arias Padilla</t>
        </is>
      </c>
    </row>
    <row r="9">
      <c r="A9" t="inlineStr">
        <is>
          <t>Orlando Arias</t>
        </is>
      </c>
      <c r="B9" t="n">
        <v>27915986</v>
      </c>
      <c r="C9" s="2" t="n">
        <v>43870</v>
      </c>
      <c r="D9" t="inlineStr">
        <is>
          <t>Cr. 5V # 12-1, Bodega 1, 520084, Santacruz, Nariño</t>
        </is>
      </c>
      <c r="E9" t="inlineStr">
        <is>
          <t>caroedith@example.net</t>
        </is>
      </c>
      <c r="F9" t="inlineStr">
        <is>
          <t>2043817</t>
        </is>
      </c>
      <c r="G9" t="inlineStr">
        <is>
          <t>Nelcy María Martínez Benavides</t>
        </is>
      </c>
    </row>
    <row r="10">
      <c r="A10" t="inlineStr">
        <is>
          <t>Juan Sánchez</t>
        </is>
      </c>
      <c r="B10" t="n">
        <v>87560368</v>
      </c>
      <c r="C10" s="2" t="n">
        <v>44281</v>
      </c>
      <c r="D10" t="inlineStr">
        <is>
          <t>Av. La Dorada # 36-7, 705790, San Onofre, Sucre</t>
        </is>
      </c>
      <c r="E10" t="inlineStr">
        <is>
          <t>diazluz@example.org</t>
        </is>
      </c>
      <c r="F10" t="inlineStr">
        <is>
          <t>609 528 91 96</t>
        </is>
      </c>
      <c r="G10" t="inlineStr">
        <is>
          <t>Víctor José Rueda Castillo</t>
        </is>
      </c>
    </row>
    <row r="11">
      <c r="A11" t="inlineStr">
        <is>
          <t>Jairo Muñoz</t>
        </is>
      </c>
      <c r="B11" t="n">
        <v>40293600</v>
      </c>
      <c r="C11" s="2" t="n">
        <v>44148</v>
      </c>
      <c r="D11" t="inlineStr">
        <is>
          <t>Cl. 1L # 8-8 Este, Oficina 47, 159194, Tota, Boyacá</t>
        </is>
      </c>
      <c r="E11" t="inlineStr">
        <is>
          <t>contrerasrosa@example.com</t>
        </is>
      </c>
      <c r="F11" t="inlineStr">
        <is>
          <t>01 8004 592 874</t>
        </is>
      </c>
      <c r="G11" t="inlineStr">
        <is>
          <t>Nidia Luz Silva</t>
        </is>
      </c>
    </row>
    <row r="12">
      <c r="A12" t="inlineStr">
        <is>
          <t>Blanca Mendoza</t>
        </is>
      </c>
      <c r="B12" t="n">
        <v>81862863</v>
      </c>
      <c r="C12" s="2" t="n">
        <v>45481</v>
      </c>
      <c r="D12" t="inlineStr">
        <is>
          <t>Av. calle 128 # 23-19 Este, 732542, Rioblanco, Tolima</t>
        </is>
      </c>
      <c r="E12" t="inlineStr">
        <is>
          <t>victor44@example.com</t>
        </is>
      </c>
      <c r="F12" t="inlineStr">
        <is>
          <t>+573290741169</t>
        </is>
      </c>
      <c r="G12" t="inlineStr">
        <is>
          <t>César Francisco Bedoya Corredor</t>
        </is>
      </c>
    </row>
    <row r="13">
      <c r="A13" t="inlineStr">
        <is>
          <t>Vicente González</t>
        </is>
      </c>
      <c r="B13" t="n">
        <v>57722313</v>
      </c>
      <c r="C13" s="2" t="n">
        <v>43626</v>
      </c>
      <c r="D13" t="inlineStr">
        <is>
          <t>Carrera 44 # 48K-66, 738354, Icononzo, Tolima</t>
        </is>
      </c>
      <c r="E13" t="inlineStr">
        <is>
          <t>verajairo@example.org</t>
        </is>
      </c>
      <c r="F13" t="inlineStr">
        <is>
          <t>3519510</t>
        </is>
      </c>
      <c r="G13" t="inlineStr">
        <is>
          <t>Sonia Bolívar Trujillo</t>
        </is>
      </c>
    </row>
    <row r="14">
      <c r="A14" t="inlineStr">
        <is>
          <t>Deisy Ramírez</t>
        </is>
      </c>
      <c r="B14" t="n">
        <v>64916020</v>
      </c>
      <c r="C14" s="2" t="n">
        <v>44097</v>
      </c>
      <c r="D14" t="inlineStr">
        <is>
          <t>Avenida calle 141 # 96-7 Este, Bodega 14, 527318, Ospina, Nariño</t>
        </is>
      </c>
      <c r="E14" t="inlineStr">
        <is>
          <t>hoyoscarlos@example.org</t>
        </is>
      </c>
      <c r="F14" t="inlineStr">
        <is>
          <t>6055301849</t>
        </is>
      </c>
      <c r="G14" t="inlineStr">
        <is>
          <t>Ronal Gutiérrez</t>
        </is>
      </c>
    </row>
    <row r="15">
      <c r="A15" t="inlineStr">
        <is>
          <t>Cristian Lozano</t>
        </is>
      </c>
      <c r="B15" t="n">
        <v>18612753</v>
      </c>
      <c r="C15" s="2" t="n">
        <v>43780</v>
      </c>
      <c r="D15" t="inlineStr">
        <is>
          <t>Carrera 21 # 4-5 Este, Torre 8 apartamento 37, 544341, Villa Caro, Norte de Santander</t>
        </is>
      </c>
      <c r="E15" t="inlineStr">
        <is>
          <t>oscar87@example.com</t>
        </is>
      </c>
      <c r="F15" t="inlineStr">
        <is>
          <t>(+57) 603 482 76 28</t>
        </is>
      </c>
      <c r="G15" t="inlineStr">
        <is>
          <t>Yamid García Pacheco</t>
        </is>
      </c>
    </row>
    <row r="16">
      <c r="A16" t="inlineStr">
        <is>
          <t>Patricia Becerra</t>
        </is>
      </c>
      <c r="B16" t="n">
        <v>16490369</v>
      </c>
      <c r="C16" s="2" t="n">
        <v>44397</v>
      </c>
      <c r="D16" t="inlineStr">
        <is>
          <t>Carrera 4P Sur # 7F-90 Este, 194634, López de Micay, Cauca</t>
        </is>
      </c>
      <c r="E16" t="inlineStr">
        <is>
          <t>carolinacalderon@example.com</t>
        </is>
      </c>
      <c r="F16" t="inlineStr">
        <is>
          <t>+573043334675</t>
        </is>
      </c>
      <c r="G16" t="inlineStr">
        <is>
          <t>Patricia Carolina Gómez Parra</t>
        </is>
      </c>
    </row>
    <row r="17">
      <c r="A17" t="inlineStr">
        <is>
          <t>Rosa Romero</t>
        </is>
      </c>
      <c r="B17" t="n">
        <v>20460516</v>
      </c>
      <c r="C17" s="2" t="n">
        <v>43839</v>
      </c>
      <c r="D17" t="inlineStr">
        <is>
          <t>Calle 4 Bis # 54-93, 059500, Mutatá, Antioquia</t>
        </is>
      </c>
      <c r="E17" t="inlineStr">
        <is>
          <t>riverajulieth@example.net</t>
        </is>
      </c>
      <c r="F17" t="inlineStr">
        <is>
          <t>57 329 530 24 49</t>
        </is>
      </c>
      <c r="G17" t="inlineStr">
        <is>
          <t>Luis Fernández Restrepo</t>
        </is>
      </c>
    </row>
    <row r="18">
      <c r="A18" t="inlineStr">
        <is>
          <t>Fernando Delgado</t>
        </is>
      </c>
      <c r="B18" t="n">
        <v>96011215</v>
      </c>
      <c r="C18" s="2" t="n">
        <v>44452</v>
      </c>
      <c r="D18" t="inlineStr">
        <is>
          <t>Calle 5ª # 17-2, Etapa 2 apartamento 12, 472389, San Zenón, Magdalena</t>
        </is>
      </c>
      <c r="E18" t="inlineStr">
        <is>
          <t>ballesterosvalentina@example.com</t>
        </is>
      </c>
      <c r="F18" t="inlineStr">
        <is>
          <t>+57 310 292 95 14</t>
        </is>
      </c>
      <c r="G18" t="inlineStr">
        <is>
          <t>José Mauricio Naranjo</t>
        </is>
      </c>
    </row>
    <row r="19">
      <c r="A19" t="inlineStr">
        <is>
          <t>Olga Castillo</t>
        </is>
      </c>
      <c r="B19" t="n">
        <v>18524906</v>
      </c>
      <c r="C19" s="2" t="n">
        <v>45794</v>
      </c>
      <c r="D19" t="inlineStr">
        <is>
          <t>Carrera 50 # 54-46 Sur, Torre 6 apartamento 717, 684144, Carcasí, Santander</t>
        </is>
      </c>
      <c r="E19" t="inlineStr">
        <is>
          <t>sandra88@example.com</t>
        </is>
      </c>
      <c r="F19" t="inlineStr">
        <is>
          <t>+573003903615</t>
        </is>
      </c>
      <c r="G19" t="inlineStr">
        <is>
          <t>David Daniel Chávez</t>
        </is>
      </c>
    </row>
    <row r="20">
      <c r="A20" t="inlineStr">
        <is>
          <t>Lucy Niño</t>
        </is>
      </c>
      <c r="B20" t="n">
        <v>15082038</v>
      </c>
      <c r="C20" s="2" t="n">
        <v>43661</v>
      </c>
      <c r="D20" t="inlineStr">
        <is>
          <t>Avenida carrera 9ª # 66-2 Sur, 474004, El Piñón, Magdalena</t>
        </is>
      </c>
      <c r="E20" t="inlineStr">
        <is>
          <t>ybarrios@example.net</t>
        </is>
      </c>
      <c r="F20" t="inlineStr">
        <is>
          <t>302 223 04 57</t>
        </is>
      </c>
      <c r="G20" t="inlineStr">
        <is>
          <t>Orlando Castro Posada</t>
        </is>
      </c>
    </row>
    <row r="21">
      <c r="A21" t="inlineStr">
        <is>
          <t>Johanna García</t>
        </is>
      </c>
      <c r="B21" t="n">
        <v>72706169</v>
      </c>
      <c r="C21" s="2" t="n">
        <v>43288</v>
      </c>
      <c r="D21" t="inlineStr">
        <is>
          <t>Cl. 5ª # 1-99 Sur, 682326, Barichara, Santander</t>
        </is>
      </c>
      <c r="E21" t="inlineStr">
        <is>
          <t>vasquezalexandra@example.org</t>
        </is>
      </c>
      <c r="F21" t="inlineStr">
        <is>
          <t>57 608 464 76 29</t>
        </is>
      </c>
      <c r="G21" t="inlineStr">
        <is>
          <t>Teresa Zapata</t>
        </is>
      </c>
    </row>
    <row r="22">
      <c r="A22" t="inlineStr">
        <is>
          <t>Jorge Gómez</t>
        </is>
      </c>
      <c r="B22" t="n">
        <v>91678983</v>
      </c>
      <c r="C22" s="2" t="n">
        <v>45367</v>
      </c>
      <c r="D22" t="inlineStr">
        <is>
          <t>Cl. 188 # 9-77 Este, 251675, Guasca, Cundinamarca</t>
        </is>
      </c>
      <c r="E22" t="inlineStr">
        <is>
          <t>andres83@example.com</t>
        </is>
      </c>
      <c r="F22" t="inlineStr">
        <is>
          <t>57 313 409 12 44</t>
        </is>
      </c>
      <c r="G22" t="inlineStr">
        <is>
          <t>Yulieth Luz Castro</t>
        </is>
      </c>
    </row>
    <row r="23">
      <c r="A23" t="inlineStr">
        <is>
          <t>María Suárez</t>
        </is>
      </c>
      <c r="B23" t="n">
        <v>79952625</v>
      </c>
      <c r="C23" s="2" t="n">
        <v>45751</v>
      </c>
      <c r="D23" t="inlineStr">
        <is>
          <t>Cl. 34 # 1-33 Este, Apto. 24, 549914, Ábrego, Norte de Santander</t>
        </is>
      </c>
      <c r="E23" t="inlineStr">
        <is>
          <t>nhernandez@example.com</t>
        </is>
      </c>
      <c r="F23" t="inlineStr">
        <is>
          <t>3241521145</t>
        </is>
      </c>
      <c r="G23" t="inlineStr">
        <is>
          <t>Ricardo Sierra Rentería</t>
        </is>
      </c>
    </row>
    <row r="24">
      <c r="A24" t="inlineStr">
        <is>
          <t>Amanda Gómez</t>
        </is>
      </c>
      <c r="B24" t="n">
        <v>43050210</v>
      </c>
      <c r="C24" s="2" t="n">
        <v>44055</v>
      </c>
      <c r="D24" t="inlineStr">
        <is>
          <t>Cr. 83R Bis # 9U-66, Oficina 30, 273786, Bajo Baudó, Chocó</t>
        </is>
      </c>
      <c r="E24" t="inlineStr">
        <is>
          <t>jairo35@example.org</t>
        </is>
      </c>
      <c r="F24" t="inlineStr">
        <is>
          <t>952 93 15</t>
        </is>
      </c>
      <c r="G24" t="inlineStr">
        <is>
          <t>Adriana Lina Espinosa Navarro</t>
        </is>
      </c>
    </row>
    <row r="25">
      <c r="A25" t="inlineStr">
        <is>
          <t>José Medina</t>
        </is>
      </c>
      <c r="B25" t="n">
        <v>36912398</v>
      </c>
      <c r="C25" s="2" t="n">
        <v>42273</v>
      </c>
      <c r="D25" t="inlineStr">
        <is>
          <t>Cr. 130 # 9-38 Sur, 202560, Becerril, Cesar</t>
        </is>
      </c>
      <c r="E25" t="inlineStr">
        <is>
          <t>fonsecaalexander@example.com</t>
        </is>
      </c>
      <c r="F25" t="inlineStr">
        <is>
          <t>(+57) 324 027 24 13</t>
        </is>
      </c>
      <c r="G25" t="inlineStr">
        <is>
          <t>Leandro Rodríguez</t>
        </is>
      </c>
    </row>
    <row r="26">
      <c r="A26" t="inlineStr">
        <is>
          <t>José Hernández</t>
        </is>
      </c>
      <c r="B26" t="n">
        <v>67534339</v>
      </c>
      <c r="C26" s="2" t="n">
        <v>45934</v>
      </c>
      <c r="D26" t="inlineStr">
        <is>
          <t>Dg. 2F Bis # 6-65, Etapa 7 apartamento 486, 509827, Puerto Gaitán, Meta</t>
        </is>
      </c>
      <c r="E26" t="inlineStr">
        <is>
          <t>hermes27@example.com</t>
        </is>
      </c>
      <c r="F26" t="inlineStr">
        <is>
          <t>(+57) 311 390 55 92</t>
        </is>
      </c>
      <c r="G26" t="inlineStr">
        <is>
          <t>María Laura Mora Contreras</t>
        </is>
      </c>
    </row>
    <row r="27">
      <c r="A27" t="inlineStr">
        <is>
          <t>Vanessa García</t>
        </is>
      </c>
      <c r="B27" t="n">
        <v>95803123</v>
      </c>
      <c r="C27" s="2" t="n">
        <v>41956</v>
      </c>
      <c r="D27" t="inlineStr">
        <is>
          <t>Cl. 67U # 5K-9, Bodega 226, 193060, Santa Rosa, Cauca</t>
        </is>
      </c>
      <c r="E27" t="inlineStr">
        <is>
          <t>tfernandez@example.com</t>
        </is>
      </c>
      <c r="F27" t="inlineStr">
        <is>
          <t>018009374161</t>
        </is>
      </c>
      <c r="G27" t="inlineStr">
        <is>
          <t>Gloria María Rojas Cifuentes</t>
        </is>
      </c>
    </row>
    <row r="28">
      <c r="A28" t="inlineStr">
        <is>
          <t>Margarita Ortiz</t>
        </is>
      </c>
      <c r="B28" t="n">
        <v>77776637</v>
      </c>
      <c r="C28" s="2" t="n">
        <v>42596</v>
      </c>
      <c r="D28" t="inlineStr">
        <is>
          <t>Avenida carrera 164 # 16N-1 Sur, 278540, Sipí, Chocó</t>
        </is>
      </c>
      <c r="E28" t="inlineStr">
        <is>
          <t>chaparrofelipe@example.com</t>
        </is>
      </c>
      <c r="F28" t="inlineStr">
        <is>
          <t>57 323 145 51 45</t>
        </is>
      </c>
      <c r="G28" t="inlineStr">
        <is>
          <t>Sofía Pardo Álvarez</t>
        </is>
      </c>
    </row>
    <row r="29">
      <c r="A29" t="inlineStr">
        <is>
          <t>Lorenzo Zambrano</t>
        </is>
      </c>
      <c r="B29" t="n">
        <v>83419354</v>
      </c>
      <c r="C29" s="2" t="n">
        <v>44515</v>
      </c>
      <c r="D29" t="inlineStr">
        <is>
          <t>Carrera 9ª # 60-42 Sur, 151457, Mongua, Boyacá</t>
        </is>
      </c>
      <c r="E29" t="inlineStr">
        <is>
          <t>benjamintorres@example.com</t>
        </is>
      </c>
      <c r="F29" t="inlineStr">
        <is>
          <t>573136910816</t>
        </is>
      </c>
      <c r="G29" t="inlineStr">
        <is>
          <t>Luis Sánchez</t>
        </is>
      </c>
    </row>
    <row r="30">
      <c r="A30" t="inlineStr">
        <is>
          <t>Andrés Acevedo</t>
        </is>
      </c>
      <c r="B30" t="n">
        <v>74334290</v>
      </c>
      <c r="C30" s="2" t="n">
        <v>44779</v>
      </c>
      <c r="D30" t="inlineStr">
        <is>
          <t>Cl. 179 Sur # 42-53 Este, 181802, Belén de los Andaquíes, Caquetá</t>
        </is>
      </c>
      <c r="E30" t="inlineStr">
        <is>
          <t>cardenaskaren@example.com</t>
        </is>
      </c>
      <c r="F30" t="inlineStr">
        <is>
          <t>(+57) 607 653 57 77</t>
        </is>
      </c>
      <c r="G30" t="inlineStr">
        <is>
          <t>Luz Doris Rodríguez</t>
        </is>
      </c>
    </row>
    <row r="31">
      <c r="A31" t="inlineStr">
        <is>
          <t>Lilia Ortiz</t>
        </is>
      </c>
      <c r="B31" t="n">
        <v>81096448</v>
      </c>
      <c r="C31" s="2" t="n">
        <v>42200</v>
      </c>
      <c r="D31" t="inlineStr">
        <is>
          <t>Cr. 153 # 9-18 Sur, Apto. 85, 177769, Aranzazu, Caldas</t>
        </is>
      </c>
      <c r="E31" t="inlineStr">
        <is>
          <t>rodriguezjorge@example.com</t>
        </is>
      </c>
      <c r="F31" t="inlineStr">
        <is>
          <t>57 605 973 62 38</t>
        </is>
      </c>
      <c r="G31" t="inlineStr">
        <is>
          <t>Beatriz Katherin Medina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E2" sqref="E2:E29"/>
    </sheetView>
  </sheetViews>
  <sheetFormatPr baseColWidth="10" defaultColWidth="9.140625" defaultRowHeight="15"/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FECHA_NACIMIENTO</t>
        </is>
      </c>
      <c r="D1" s="1" t="inlineStr">
        <is>
          <t>DIRECCION</t>
        </is>
      </c>
      <c r="E1" s="1" t="inlineStr">
        <is>
          <t>CORREO</t>
        </is>
      </c>
      <c r="F1" s="1" t="inlineStr">
        <is>
          <t>TELEFONO</t>
        </is>
      </c>
      <c r="G1" s="1" t="inlineStr">
        <is>
          <t>ACUDIENTE</t>
        </is>
      </c>
    </row>
    <row r="2">
      <c r="A2" t="inlineStr">
        <is>
          <t>José Muñoz</t>
        </is>
      </c>
      <c r="B2" t="n">
        <v>86928929</v>
      </c>
      <c r="C2" s="2" t="n">
        <v>43091</v>
      </c>
      <c r="D2" t="inlineStr">
        <is>
          <t>Cr. 16 # 7-9, Oficina 7, 525688, Sapuyes, Nariño</t>
        </is>
      </c>
      <c r="E2" t="inlineStr">
        <is>
          <t>perezeduar@example.org</t>
        </is>
      </c>
      <c r="F2" t="inlineStr">
        <is>
          <t>(+57) 608 938 33 17</t>
        </is>
      </c>
      <c r="G2" t="inlineStr">
        <is>
          <t>Isaías Mauricio Mora</t>
        </is>
      </c>
    </row>
    <row r="3">
      <c r="A3" t="inlineStr">
        <is>
          <t>Edgar Guevara</t>
        </is>
      </c>
      <c r="B3" t="n">
        <v>49465163</v>
      </c>
      <c r="C3" s="2" t="n">
        <v>45612</v>
      </c>
      <c r="D3" t="inlineStr">
        <is>
          <t>Calle 168 # 3-55 Este, Bodega 844, 470291, Cerro de San Antonio, Magdalena</t>
        </is>
      </c>
      <c r="E3" t="inlineStr">
        <is>
          <t>maria25@example.net</t>
        </is>
      </c>
      <c r="F3" t="inlineStr">
        <is>
          <t>(+57) 304 497 31 80</t>
        </is>
      </c>
      <c r="G3" t="inlineStr">
        <is>
          <t>Elizabeth María Rodríguez Gil</t>
        </is>
      </c>
    </row>
    <row r="4">
      <c r="A4" t="inlineStr">
        <is>
          <t>Leidy Rodríguez</t>
        </is>
      </c>
      <c r="B4" t="n">
        <v>78120761</v>
      </c>
      <c r="C4" s="2" t="n">
        <v>44357</v>
      </c>
      <c r="D4" t="inlineStr">
        <is>
          <t>Calle 6G # 74J-6 Sur, 254914, Machetá, Cundinamarca</t>
        </is>
      </c>
      <c r="E4" t="inlineStr">
        <is>
          <t>mariacastillo@example.net</t>
        </is>
      </c>
      <c r="F4" t="inlineStr">
        <is>
          <t>573196492562</t>
        </is>
      </c>
      <c r="G4" t="inlineStr">
        <is>
          <t>David Arroyo Quintero</t>
        </is>
      </c>
    </row>
    <row r="5">
      <c r="A5" t="inlineStr">
        <is>
          <t>Edison Cárdenas</t>
        </is>
      </c>
      <c r="B5" t="n">
        <v>57289677</v>
      </c>
      <c r="C5" s="2" t="n">
        <v>42546</v>
      </c>
      <c r="D5" t="inlineStr">
        <is>
          <t>Cl. 99 # 2A-81, Apartamento 323, 814826, Fortul, Arauca</t>
        </is>
      </c>
      <c r="E5" t="inlineStr">
        <is>
          <t>pbautista@example.net</t>
        </is>
      </c>
      <c r="F5" t="inlineStr">
        <is>
          <t>(+57) 314 796 61 03</t>
        </is>
      </c>
      <c r="G5" t="inlineStr">
        <is>
          <t>Carlos Palacios Rincón</t>
        </is>
      </c>
    </row>
    <row r="6">
      <c r="A6" t="inlineStr">
        <is>
          <t>Jhon Rendón</t>
        </is>
      </c>
      <c r="B6" t="n">
        <v>73943260</v>
      </c>
      <c r="C6" s="2" t="n">
        <v>45065</v>
      </c>
      <c r="D6" t="inlineStr">
        <is>
          <t>Calle 2N # 25-6, 258953, Caparrapí, Cundinamarca</t>
        </is>
      </c>
      <c r="E6" t="inlineStr">
        <is>
          <t>gonzalezeduardo@example.com</t>
        </is>
      </c>
      <c r="F6" t="inlineStr">
        <is>
          <t>+57 323 507 63 26</t>
        </is>
      </c>
      <c r="G6" t="inlineStr">
        <is>
          <t>David Omar Páez Flórez</t>
        </is>
      </c>
    </row>
    <row r="7">
      <c r="A7" t="inlineStr">
        <is>
          <t>Lorena Murcia</t>
        </is>
      </c>
      <c r="B7" t="n">
        <v>64174734</v>
      </c>
      <c r="C7" s="2" t="n">
        <v>45626</v>
      </c>
      <c r="D7" t="inlineStr">
        <is>
          <t>Av. Pablo Eduardo Yepes Hernández # 18-5, Local 32, 154001, Soracá, Boyacá</t>
        </is>
      </c>
      <c r="E7" t="inlineStr">
        <is>
          <t>arturogarcia@example.org</t>
        </is>
      </c>
      <c r="F7" t="inlineStr">
        <is>
          <t>+57 303 120 53 52</t>
        </is>
      </c>
      <c r="G7" t="inlineStr">
        <is>
          <t>Diego Óscar Guerrero</t>
        </is>
      </c>
    </row>
    <row r="8">
      <c r="A8" t="inlineStr">
        <is>
          <t>Luz Quintero</t>
        </is>
      </c>
      <c r="B8" t="n">
        <v>58015178</v>
      </c>
      <c r="C8" s="2" t="n">
        <v>43510</v>
      </c>
      <c r="D8" t="inlineStr">
        <is>
          <t>Cr. 6N Bis # 37-3 Este, Oficina 36, 761845, Calima, Valle del Cauca</t>
        </is>
      </c>
      <c r="E8" t="inlineStr">
        <is>
          <t>henaomaria@example.net</t>
        </is>
      </c>
      <c r="F8" t="inlineStr">
        <is>
          <t>301 613 21 01</t>
        </is>
      </c>
      <c r="G8" t="inlineStr">
        <is>
          <t>Amparo Moreno Peña</t>
        </is>
      </c>
    </row>
    <row r="9">
      <c r="A9" t="inlineStr">
        <is>
          <t>Rafael Fuentes</t>
        </is>
      </c>
      <c r="B9" t="n">
        <v>11584549</v>
      </c>
      <c r="C9" s="2" t="n">
        <v>45123</v>
      </c>
      <c r="D9" t="inlineStr">
        <is>
          <t>Cl. 6ª # 88V-9, 503924, Guamal, Meta</t>
        </is>
      </c>
      <c r="E9" t="inlineStr">
        <is>
          <t>beatrizmoreno@example.com</t>
        </is>
      </c>
      <c r="F9" t="inlineStr">
        <is>
          <t>+573257406427</t>
        </is>
      </c>
      <c r="G9" t="inlineStr">
        <is>
          <t>Javier Michael Ramos Bohórquez</t>
        </is>
      </c>
    </row>
    <row r="10">
      <c r="A10" t="inlineStr">
        <is>
          <t>Johana Rodríguez</t>
        </is>
      </c>
      <c r="B10" t="n">
        <v>66809537</v>
      </c>
      <c r="C10" s="2" t="n">
        <v>42223</v>
      </c>
      <c r="D10" t="inlineStr">
        <is>
          <t>Av. Miguel Enrique Rincón # 5-44 Este, Bodega 441, 522034, Gualmatán, Nariño</t>
        </is>
      </c>
      <c r="E10" t="inlineStr">
        <is>
          <t>guillermo12@example.net</t>
        </is>
      </c>
      <c r="F10" t="inlineStr">
        <is>
          <t>573147857642</t>
        </is>
      </c>
      <c r="G10" t="inlineStr">
        <is>
          <t>Luz María López</t>
        </is>
      </c>
    </row>
    <row r="11">
      <c r="A11" t="inlineStr">
        <is>
          <t>Dary Suárez</t>
        </is>
      </c>
      <c r="B11" t="n">
        <v>34265595</v>
      </c>
      <c r="C11" s="2" t="n">
        <v>43422</v>
      </c>
      <c r="D11" t="inlineStr">
        <is>
          <t>Av. La Peña # 9X-2 Este, Bodega 5, 253045, Soacha, Cundinamarca</t>
        </is>
      </c>
      <c r="E11" t="inlineStr">
        <is>
          <t>salazarmaria@example.org</t>
        </is>
      </c>
      <c r="F11" t="inlineStr">
        <is>
          <t>+573297180139</t>
        </is>
      </c>
      <c r="G11" t="inlineStr">
        <is>
          <t>Miguel Zapata Toro</t>
        </is>
      </c>
    </row>
    <row r="12">
      <c r="A12" t="inlineStr">
        <is>
          <t>Alexandra Martínez</t>
        </is>
      </c>
      <c r="B12" t="n">
        <v>66508343</v>
      </c>
      <c r="C12" s="2" t="n">
        <v>42975</v>
      </c>
      <c r="D12" t="inlineStr">
        <is>
          <t>Avenida calle 113 # 7A-9, Oficina 38, 132895, Hatillo de Loba, Bolívar</t>
        </is>
      </c>
      <c r="E12" t="inlineStr">
        <is>
          <t>fernandoromero@example.com</t>
        </is>
      </c>
      <c r="F12" t="inlineStr">
        <is>
          <t>57 606 860 91 30</t>
        </is>
      </c>
      <c r="G12" t="inlineStr">
        <is>
          <t>Jairo José González</t>
        </is>
      </c>
    </row>
    <row r="13">
      <c r="A13" t="inlineStr">
        <is>
          <t>Fredy Jiménez</t>
        </is>
      </c>
      <c r="B13" t="n">
        <v>88444739</v>
      </c>
      <c r="C13" s="2" t="n">
        <v>43929</v>
      </c>
      <c r="D13" t="inlineStr">
        <is>
          <t>Calle 42 # 4-18 Este, Apto. 460, 686789, El Peñón, Santander</t>
        </is>
      </c>
      <c r="E13" t="inlineStr">
        <is>
          <t>carmen95@example.net</t>
        </is>
      </c>
      <c r="F13" t="inlineStr">
        <is>
          <t>018002575899</t>
        </is>
      </c>
      <c r="G13" t="inlineStr">
        <is>
          <t>Jesús Ramírez</t>
        </is>
      </c>
    </row>
    <row r="14">
      <c r="A14" t="inlineStr">
        <is>
          <t>Rosario León</t>
        </is>
      </c>
      <c r="B14" t="n">
        <v>60944089</v>
      </c>
      <c r="C14" s="2" t="n">
        <v>43776</v>
      </c>
      <c r="D14" t="inlineStr">
        <is>
          <t>Av. José José Díaz Ávila # 30-24 Este, 151445, Belén, Boyacá</t>
        </is>
      </c>
      <c r="E14" t="inlineStr">
        <is>
          <t>mario05@example.net</t>
        </is>
      </c>
      <c r="F14" t="inlineStr">
        <is>
          <t>573000017416</t>
        </is>
      </c>
      <c r="G14" t="inlineStr">
        <is>
          <t>Alberto Augusto Montenegro</t>
        </is>
      </c>
    </row>
    <row r="15">
      <c r="A15" t="inlineStr">
        <is>
          <t>Norbey Bernal</t>
        </is>
      </c>
      <c r="B15" t="n">
        <v>77873808</v>
      </c>
      <c r="C15" s="2" t="n">
        <v>42251</v>
      </c>
      <c r="D15" t="inlineStr">
        <is>
          <t>Cl. 101 Bis V # 87-19, 257580, Funza, Cundinamarca</t>
        </is>
      </c>
      <c r="E15" t="inlineStr">
        <is>
          <t>cristina86@example.com</t>
        </is>
      </c>
      <c r="F15" t="inlineStr">
        <is>
          <t>3243937759</t>
        </is>
      </c>
      <c r="G15" t="inlineStr">
        <is>
          <t>Gabriela Nancy Moreno</t>
        </is>
      </c>
    </row>
    <row r="16">
      <c r="A16" t="inlineStr">
        <is>
          <t>Esperanza Acosta</t>
        </is>
      </c>
      <c r="B16" t="n">
        <v>31327698</v>
      </c>
      <c r="C16" s="2" t="n">
        <v>45326</v>
      </c>
      <c r="D16" t="inlineStr">
        <is>
          <t>Calle 141 # 8-6 Sur, Apartamento 1, 684785, Zapatoca, Santander</t>
        </is>
      </c>
      <c r="E16" t="inlineStr">
        <is>
          <t>ninojulieth@example.org</t>
        </is>
      </c>
      <c r="F16" t="inlineStr">
        <is>
          <t>57 604 270 32 95</t>
        </is>
      </c>
      <c r="G16" t="inlineStr">
        <is>
          <t>Augusto Carlos Torres</t>
        </is>
      </c>
    </row>
    <row r="17">
      <c r="A17" t="inlineStr">
        <is>
          <t>Jorge Romero</t>
        </is>
      </c>
      <c r="B17" t="n">
        <v>52860660</v>
      </c>
      <c r="C17" s="2" t="n">
        <v>43692</v>
      </c>
      <c r="D17" t="inlineStr">
        <is>
          <t>Diagonal 194 # 65E-64, 156265, Tibasosa, Boyacá</t>
        </is>
      </c>
      <c r="E17" t="inlineStr">
        <is>
          <t>ceciliadiaz@example.com</t>
        </is>
      </c>
      <c r="F17" t="inlineStr">
        <is>
          <t>01 8003 484 831</t>
        </is>
      </c>
      <c r="G17" t="inlineStr">
        <is>
          <t>Ángela González Sanabria</t>
        </is>
      </c>
    </row>
    <row r="18">
      <c r="A18" t="inlineStr">
        <is>
          <t>Benjamín Pérez</t>
        </is>
      </c>
      <c r="B18" t="n">
        <v>10062103</v>
      </c>
      <c r="C18" s="2" t="n">
        <v>43849</v>
      </c>
      <c r="D18" t="inlineStr">
        <is>
          <t>Carrera 90 # 1L-3 Sur, 230196, Cotorra, Córdoba</t>
        </is>
      </c>
      <c r="E18" t="inlineStr">
        <is>
          <t>jesusibarra@example.net</t>
        </is>
      </c>
      <c r="F18" t="inlineStr">
        <is>
          <t>306 831 88 78</t>
        </is>
      </c>
      <c r="G18" t="inlineStr">
        <is>
          <t>Álvaro Albeiro Caro</t>
        </is>
      </c>
    </row>
    <row r="19">
      <c r="A19" t="inlineStr">
        <is>
          <t>Giovanny Moreno</t>
        </is>
      </c>
      <c r="B19" t="n">
        <v>67631081</v>
      </c>
      <c r="C19" s="2" t="n">
        <v>42201</v>
      </c>
      <c r="D19" t="inlineStr">
        <is>
          <t>Avenida Sardinata # 79-41 Sur, 501600, Granada, Meta</t>
        </is>
      </c>
      <c r="E19" t="inlineStr">
        <is>
          <t>martinezcarlos@example.net</t>
        </is>
      </c>
      <c r="F19" t="inlineStr">
        <is>
          <t>6059495639</t>
        </is>
      </c>
      <c r="G19" t="inlineStr">
        <is>
          <t>Alexandra Diana Rodríguez Arteaga</t>
        </is>
      </c>
    </row>
    <row r="20">
      <c r="A20" t="inlineStr">
        <is>
          <t>Andrés Gutiérrez</t>
        </is>
      </c>
      <c r="B20" t="n">
        <v>99667261</v>
      </c>
      <c r="C20" s="2" t="n">
        <v>45244</v>
      </c>
      <c r="D20" t="inlineStr">
        <is>
          <t>Avenida Escobar # 3-60, Oficina 51, 196235, Popayán</t>
        </is>
      </c>
      <c r="E20" t="inlineStr">
        <is>
          <t>rcalderon@example.org</t>
        </is>
      </c>
      <c r="F20" t="inlineStr">
        <is>
          <t>+573223420603</t>
        </is>
      </c>
      <c r="G20" t="inlineStr">
        <is>
          <t>Carlos Hernández León</t>
        </is>
      </c>
    </row>
    <row r="21">
      <c r="A21" t="inlineStr">
        <is>
          <t>Ángela Salamanca</t>
        </is>
      </c>
      <c r="B21" t="n">
        <v>62017477</v>
      </c>
      <c r="C21" s="2" t="n">
        <v>43788</v>
      </c>
      <c r="D21" t="inlineStr">
        <is>
          <t>Carrera 107E # 87-6, Local 644, 135361, Clemencia, Bolívar</t>
        </is>
      </c>
      <c r="E21" t="inlineStr">
        <is>
          <t>trios@example.com</t>
        </is>
      </c>
      <c r="F21" t="inlineStr">
        <is>
          <t>(+57) 313 758 18 97</t>
        </is>
      </c>
      <c r="G21" t="inlineStr">
        <is>
          <t>María Carmen Pérez</t>
        </is>
      </c>
    </row>
    <row r="22">
      <c r="A22" t="inlineStr">
        <is>
          <t>David Bohórquez</t>
        </is>
      </c>
      <c r="B22" t="n">
        <v>53351200</v>
      </c>
      <c r="C22" s="2" t="n">
        <v>45531</v>
      </c>
      <c r="D22" t="inlineStr">
        <is>
          <t>Cl. 3ª # 6-36, Torre 7 apartamento 10, 052461, San Carlos, Antioquia</t>
        </is>
      </c>
      <c r="E22" t="inlineStr">
        <is>
          <t>frankrodriguez@example.org</t>
        </is>
      </c>
      <c r="F22" t="inlineStr">
        <is>
          <t>01 8000 560 726</t>
        </is>
      </c>
      <c r="G22" t="inlineStr">
        <is>
          <t>Andrea Alzate</t>
        </is>
      </c>
    </row>
    <row r="23">
      <c r="A23" t="inlineStr">
        <is>
          <t>Isabel Hernández</t>
        </is>
      </c>
      <c r="B23" t="n">
        <v>53970086</v>
      </c>
      <c r="C23" s="2" t="n">
        <v>43430</v>
      </c>
      <c r="D23" t="inlineStr">
        <is>
          <t>Carrera 162 Este # 7F-1, Etapa 3 apartamento 8, 132140, Turbaco, Bolívar</t>
        </is>
      </c>
      <c r="E23" t="inlineStr">
        <is>
          <t>cristina35@example.com</t>
        </is>
      </c>
      <c r="F23" t="inlineStr">
        <is>
          <t>+57 312 515 23 64</t>
        </is>
      </c>
      <c r="G23" t="inlineStr">
        <is>
          <t>Raquel Angulo</t>
        </is>
      </c>
    </row>
    <row r="24">
      <c r="A24" t="inlineStr">
        <is>
          <t>Elena Martínez</t>
        </is>
      </c>
      <c r="B24" t="n">
        <v>52431629</v>
      </c>
      <c r="C24" s="2" t="n">
        <v>43980</v>
      </c>
      <c r="D24" t="inlineStr">
        <is>
          <t>Diagonal 94 # 22-8 Este, Local 41, 053312, Vigía del Fuerte, Antioquia</t>
        </is>
      </c>
      <c r="E24" t="inlineStr">
        <is>
          <t>joseperez@example.net</t>
        </is>
      </c>
      <c r="F24" t="inlineStr">
        <is>
          <t>(+57) 315 574 27 03</t>
        </is>
      </c>
      <c r="G24" t="inlineStr">
        <is>
          <t>Omar Castro Palacios</t>
        </is>
      </c>
    </row>
    <row r="25">
      <c r="A25" t="inlineStr">
        <is>
          <t>Edwin Ortiz</t>
        </is>
      </c>
      <c r="B25" t="n">
        <v>74199392</v>
      </c>
      <c r="C25" s="2" t="n">
        <v>42888</v>
      </c>
      <c r="D25" t="inlineStr">
        <is>
          <t>Cl. 114 # 44-8 Este, Apto. 3, 478743, Pijiño del Carmen, Magdalena</t>
        </is>
      </c>
      <c r="E25" t="inlineStr">
        <is>
          <t>dguerrero@example.com</t>
        </is>
      </c>
      <c r="F25" t="inlineStr">
        <is>
          <t>(+57) 601 489 88 07</t>
        </is>
      </c>
      <c r="G25" t="inlineStr">
        <is>
          <t>Tatiana Torres Cortés</t>
        </is>
      </c>
    </row>
    <row r="26">
      <c r="A26" t="inlineStr">
        <is>
          <t>Alejandro Reyes</t>
        </is>
      </c>
      <c r="B26" t="n">
        <v>77871141</v>
      </c>
      <c r="C26" s="2" t="n">
        <v>45777</v>
      </c>
      <c r="D26" t="inlineStr">
        <is>
          <t>Calle 13M # 4-4 Este, 973473, Yavaraté, Vaupés</t>
        </is>
      </c>
      <c r="E26" t="inlineStr">
        <is>
          <t>yvalencia@example.org</t>
        </is>
      </c>
      <c r="F26" t="inlineStr">
        <is>
          <t>313 689 30 12</t>
        </is>
      </c>
      <c r="G26" t="inlineStr">
        <is>
          <t>Gloria Lucía Mercado</t>
        </is>
      </c>
    </row>
    <row r="27">
      <c r="A27" t="inlineStr">
        <is>
          <t>Adrián Carvajal</t>
        </is>
      </c>
      <c r="B27" t="n">
        <v>13708833</v>
      </c>
      <c r="C27" s="2" t="n">
        <v>43273</v>
      </c>
      <c r="D27" t="inlineStr">
        <is>
          <t>Cl. 103 # 47X-46 Este, Local 600, 176032, Neira, Caldas</t>
        </is>
      </c>
      <c r="E27" t="inlineStr">
        <is>
          <t>guerrajorge@example.net</t>
        </is>
      </c>
      <c r="F27" t="inlineStr">
        <is>
          <t>+57 311 972 91 19</t>
        </is>
      </c>
      <c r="G27" t="inlineStr">
        <is>
          <t>Patricia Paula González</t>
        </is>
      </c>
    </row>
    <row r="28">
      <c r="A28" t="inlineStr">
        <is>
          <t>Yeison Pérez</t>
        </is>
      </c>
      <c r="B28" t="n">
        <v>71396725</v>
      </c>
      <c r="C28" s="2" t="n">
        <v>42770</v>
      </c>
      <c r="D28" t="inlineStr">
        <is>
          <t>Calle 71 # 86-2 Este, Apto. 658, 256369, Guayabal de Síquima, Cundinamarca</t>
        </is>
      </c>
      <c r="E28" t="inlineStr">
        <is>
          <t>alejandrabernal@example.org</t>
        </is>
      </c>
      <c r="F28" t="inlineStr">
        <is>
          <t>6082654167</t>
        </is>
      </c>
      <c r="G28" t="inlineStr">
        <is>
          <t>José José Sánchez</t>
        </is>
      </c>
    </row>
    <row r="29">
      <c r="A29" t="inlineStr">
        <is>
          <t>Esther Quiroga</t>
        </is>
      </c>
      <c r="B29" t="n">
        <v>83849100</v>
      </c>
      <c r="C29" s="2" t="n">
        <v>42719</v>
      </c>
      <c r="D29" t="inlineStr">
        <is>
          <t>Cl. 7T # 5-47 Sur, 417753, La Plata, Huila</t>
        </is>
      </c>
      <c r="E29" t="inlineStr">
        <is>
          <t>uribeedwin@example.org</t>
        </is>
      </c>
      <c r="F29" t="inlineStr">
        <is>
          <t>57 603 715 25 86</t>
        </is>
      </c>
      <c r="G29" t="inlineStr">
        <is>
          <t>Judith Mora</t>
        </is>
      </c>
    </row>
    <row r="30">
      <c r="A30" t="inlineStr">
        <is>
          <t>Magnolia Sánchez</t>
        </is>
      </c>
      <c r="B30" t="n">
        <v>13189590</v>
      </c>
      <c r="C30" s="2" t="n">
        <v>43893</v>
      </c>
      <c r="D30" t="inlineStr">
        <is>
          <t>Calle 1P Bis P # 8-6 Sur, Etapa 9 apartamento 3, 544812, Hacarí, Norte de Santander</t>
        </is>
      </c>
      <c r="E30" t="inlineStr">
        <is>
          <t>sierralaura@example.net</t>
        </is>
      </c>
      <c r="F30" t="inlineStr">
        <is>
          <t>3147780337</t>
        </is>
      </c>
      <c r="G30" t="inlineStr">
        <is>
          <t>Camilo Esteban Vega Velasco</t>
        </is>
      </c>
    </row>
    <row r="31">
      <c r="A31" t="inlineStr">
        <is>
          <t>Henry Ocampo</t>
        </is>
      </c>
      <c r="B31" t="n">
        <v>52920084</v>
      </c>
      <c r="C31" s="2" t="n">
        <v>43529</v>
      </c>
      <c r="D31" t="inlineStr">
        <is>
          <t>Carrera 65 # 14-14 Sur, Bodega 2, 252065, Paratebueno, Cundinamarca</t>
        </is>
      </c>
      <c r="E31" t="inlineStr">
        <is>
          <t>wilson71@example.net</t>
        </is>
      </c>
      <c r="F31" t="inlineStr">
        <is>
          <t>57 325 190 27 75</t>
        </is>
      </c>
      <c r="G31" t="inlineStr">
        <is>
          <t>Flor Corredor Giraldo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workbookViewId="0">
      <selection activeCell="G35" sqref="G35"/>
    </sheetView>
  </sheetViews>
  <sheetFormatPr baseColWidth="10" defaultColWidth="9.140625" defaultRowHeight="15"/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FECHA_NACIMIENTO</t>
        </is>
      </c>
      <c r="D1" s="1" t="inlineStr">
        <is>
          <t>DIRECCION</t>
        </is>
      </c>
      <c r="E1" s="1" t="inlineStr">
        <is>
          <t>CORREO</t>
        </is>
      </c>
      <c r="F1" s="1" t="inlineStr">
        <is>
          <t>TELEFONO</t>
        </is>
      </c>
      <c r="G1" s="1" t="inlineStr">
        <is>
          <t>ACUDIENTE</t>
        </is>
      </c>
    </row>
    <row r="2">
      <c r="A2" t="inlineStr">
        <is>
          <t>Lucía Morales</t>
        </is>
      </c>
      <c r="B2" t="n">
        <v>43481470</v>
      </c>
      <c r="C2" s="2" t="n">
        <v>43114</v>
      </c>
      <c r="D2">
        <f>DATEDIF(C2,TODAY(),"Y") &amp; " año" &amp; IF(DATEDIF(C2,TODAY(),"Y")=1,"","s")&amp; " " &amp; DATEDIF(C2,TODAY(),"YM") &amp; " mes"&amp; IF(DATEDIF(C2,TODAY(),"YM")=1,"","es")</f>
        <v/>
      </c>
      <c r="E2" t="inlineStr">
        <is>
          <t>jorgedaza@example.net</t>
        </is>
      </c>
      <c r="F2" t="inlineStr">
        <is>
          <t>573172308236</t>
        </is>
      </c>
      <c r="G2" t="inlineStr">
        <is>
          <t>Fanny Mercado</t>
        </is>
      </c>
      <c r="J2">
        <f>IFERROR(IF(DATEDIF(C2,TODAY(),"Y")&gt;=1,DATE(YEAR(I2),MONTH(I2)+6,DAY(I2)),DATE(YEAR(I2),MONTH(I2)+3,DAY(I2))),"NO")</f>
        <v/>
      </c>
      <c r="O2">
        <f>IFERROR(DATE(YEAR(N2)+1,MONTH(N2),DAY(N2)),"")</f>
        <v/>
      </c>
      <c r="Q2">
        <f>IFERROR(DATE(YEAR(P2),MONTH(P2)+6,DAY(P2)),"")</f>
        <v/>
      </c>
      <c r="S2">
        <f>IFERROR(DATE(YEAR(R2),MONTH(R2)+6,DAY(R2)),"")</f>
        <v/>
      </c>
    </row>
    <row r="3">
      <c r="A3" t="inlineStr">
        <is>
          <t>Hugo Escobar</t>
        </is>
      </c>
      <c r="B3" t="n">
        <v>88523964</v>
      </c>
      <c r="C3" s="2" t="n">
        <v>42207</v>
      </c>
      <c r="D3">
        <f>DATEDIF(C3,TODAY(),"Y") &amp; " año" &amp; IF(DATEDIF(C3,TODAY(),"Y")=1,"","s")&amp; " " &amp; DATEDIF(C3,TODAY(),"YM") &amp; " mes"&amp; IF(DATEDIF(C3,TODAY(),"YM")=1,"","es")</f>
        <v/>
      </c>
      <c r="E3" t="inlineStr">
        <is>
          <t>julian08@example.org</t>
        </is>
      </c>
      <c r="F3" t="inlineStr">
        <is>
          <t>+573080603038</t>
        </is>
      </c>
      <c r="G3" t="inlineStr">
        <is>
          <t>Edwin Alfredo Chávez</t>
        </is>
      </c>
      <c r="J3">
        <f>IFERROR(IF(DATEDIF(C3,TODAY(),"Y")&gt;=1,DATE(YEAR(I3),MONTH(I3)+6,DAY(I3)),DATE(YEAR(I3),MONTH(I3)+3,DAY(I3))),"NO")</f>
        <v/>
      </c>
      <c r="O3">
        <f>IFERROR(DATE(YEAR(N3)+1,MONTH(N3),DAY(N3)),"")</f>
        <v/>
      </c>
      <c r="Q3">
        <f>IFERROR(DATE(YEAR(P3),MONTH(P3)+6,DAY(P3)),"")</f>
        <v/>
      </c>
      <c r="S3">
        <f>IFERROR(DATE(YEAR(R3),MONTH(R3)+6,DAY(R3)),"")</f>
        <v/>
      </c>
    </row>
    <row r="4">
      <c r="A4" t="inlineStr">
        <is>
          <t>Juan Acevedo</t>
        </is>
      </c>
      <c r="B4" t="n">
        <v>12336473</v>
      </c>
      <c r="C4" s="2" t="n">
        <v>42714</v>
      </c>
      <c r="D4">
        <f>DATEDIF(C4,TODAY(),"Y") &amp; " año" &amp; IF(DATEDIF(C4,TODAY(),"Y")=1,"","s")&amp; " " &amp; DATEDIF(C4,TODAY(),"YM") &amp; " mes"&amp; IF(DATEDIF(C4,TODAY(),"YM")=1,"","es")</f>
        <v/>
      </c>
      <c r="E4" t="inlineStr">
        <is>
          <t>maria74@example.org</t>
        </is>
      </c>
      <c r="F4" t="inlineStr">
        <is>
          <t>573220294738</t>
        </is>
      </c>
      <c r="G4" t="inlineStr">
        <is>
          <t>Carmen Pérez</t>
        </is>
      </c>
      <c r="J4">
        <f>IFERROR(IF(DATEDIF(C4,TODAY(),"Y")&gt;=1,DATE(YEAR(I4),MONTH(I4)+6,DAY(I4)),DATE(YEAR(I4),MONTH(I4)+3,DAY(I4))),"NO")</f>
        <v/>
      </c>
      <c r="O4">
        <f>IFERROR(DATE(YEAR(N4)+1,MONTH(N4),DAY(N4)),"")</f>
        <v/>
      </c>
      <c r="Q4">
        <f>IFERROR(DATE(YEAR(P4),MONTH(P4)+6,DAY(P4)),"")</f>
        <v/>
      </c>
      <c r="S4">
        <f>IFERROR(DATE(YEAR(R4),MONTH(R4)+6,DAY(R4)),"")</f>
        <v/>
      </c>
    </row>
    <row r="5">
      <c r="A5" t="inlineStr">
        <is>
          <t>Irene Cortés</t>
        </is>
      </c>
      <c r="B5" t="n">
        <v>57701643</v>
      </c>
      <c r="C5" s="2" t="n">
        <v>44269</v>
      </c>
      <c r="D5">
        <f>DATEDIF(C5,TODAY(),"Y") &amp; " año" &amp; IF(DATEDIF(C5,TODAY(),"Y")=1,"","s")&amp; " " &amp; DATEDIF(C5,TODAY(),"YM") &amp; " mes"&amp; IF(DATEDIF(C5,TODAY(),"YM")=1,"","es")</f>
        <v/>
      </c>
      <c r="E5" t="inlineStr">
        <is>
          <t>martha60@example.net</t>
        </is>
      </c>
      <c r="F5" t="inlineStr">
        <is>
          <t>+573149367405</t>
        </is>
      </c>
      <c r="G5" t="inlineStr">
        <is>
          <t>Elena María Santos</t>
        </is>
      </c>
      <c r="J5">
        <f>IFERROR(IF(DATEDIF(C5,TODAY(),"Y")&gt;=1,DATE(YEAR(I5),MONTH(I5)+6,DAY(I5)),DATE(YEAR(I5),MONTH(I5)+3,DAY(I5))),"NO")</f>
        <v/>
      </c>
      <c r="O5">
        <f>IFERROR(DATE(YEAR(N5)+1,MONTH(N5),DAY(N5)),"")</f>
        <v/>
      </c>
    </row>
    <row r="6">
      <c r="A6" t="inlineStr">
        <is>
          <t>Antonio Andrade</t>
        </is>
      </c>
      <c r="B6" t="n">
        <v>25480382</v>
      </c>
      <c r="C6" s="2" t="n">
        <v>44846</v>
      </c>
      <c r="D6">
        <f>DATEDIF(C6,TODAY(),"Y") &amp; " año" &amp; IF(DATEDIF(C6,TODAY(),"Y")=1,"","s")&amp; " " &amp; DATEDIF(C6,TODAY(),"YM") &amp; " mes"&amp; IF(DATEDIF(C6,TODAY(),"YM")=1,"","es")</f>
        <v/>
      </c>
      <c r="E6" t="inlineStr">
        <is>
          <t>zuluagaalvaro@example.com</t>
        </is>
      </c>
      <c r="F6" t="inlineStr">
        <is>
          <t>+57 328 479 29 85</t>
        </is>
      </c>
      <c r="G6" t="inlineStr">
        <is>
          <t>Milena Cardona Álvarez</t>
        </is>
      </c>
      <c r="J6">
        <f>IFERROR(IF(DATEDIF(C6,TODAY(),"Y")&gt;=1,DATE(YEAR(I6),MONTH(I6)+6,DAY(I6)),DATE(YEAR(I6),MONTH(I6)+3,DAY(I6))),"NO")</f>
        <v/>
      </c>
    </row>
    <row r="7">
      <c r="A7" t="inlineStr">
        <is>
          <t>Giovanny Rodríguez</t>
        </is>
      </c>
      <c r="B7" t="n">
        <v>29125789</v>
      </c>
      <c r="C7" s="2" t="n">
        <v>42892</v>
      </c>
      <c r="D7">
        <f>DATEDIF(C7,TODAY(),"Y") &amp; " año" &amp; IF(DATEDIF(C7,TODAY(),"Y")=1,"","s")&amp; " " &amp; DATEDIF(C7,TODAY(),"YM") &amp; " mes"&amp; IF(DATEDIF(C7,TODAY(),"YM")=1,"","es")</f>
        <v/>
      </c>
      <c r="E7" t="inlineStr">
        <is>
          <t>bibianarojas@example.org</t>
        </is>
      </c>
      <c r="F7" t="inlineStr">
        <is>
          <t>57 329 383 65 48</t>
        </is>
      </c>
      <c r="G7" t="inlineStr">
        <is>
          <t>Amparo Martha Salcedo</t>
        </is>
      </c>
      <c r="J7">
        <f>IFERROR(IF(DATEDIF(C7,TODAY(),"Y")&gt;=1,DATE(YEAR(I7),MONTH(I7)+6,DAY(I7)),DATE(YEAR(I7),MONTH(I7)+3,DAY(I7))),"NO")</f>
        <v/>
      </c>
      <c r="O7">
        <f>IFERROR(DATE(YEAR(N7)+1,MONTH(N7),DAY(N7)),"")</f>
        <v/>
      </c>
      <c r="Q7">
        <f>IFERROR(DATE(YEAR(P7),MONTH(P7)+6,DAY(P7)),"")</f>
        <v/>
      </c>
      <c r="S7">
        <f>IFERROR(DATE(YEAR(R7),MONTH(R7)+6,DAY(R7)),"")</f>
        <v/>
      </c>
    </row>
    <row r="8">
      <c r="A8" t="inlineStr">
        <is>
          <t>Paola Castellanos</t>
        </is>
      </c>
      <c r="B8" t="n">
        <v>12594009</v>
      </c>
      <c r="C8" s="2" t="n">
        <v>45707</v>
      </c>
      <c r="D8">
        <f>DATEDIF(C8,TODAY(),"Y") &amp; " año" &amp; IF(DATEDIF(C8,TODAY(),"Y")=1,"","s")&amp; " " &amp; DATEDIF(C8,TODAY(),"YM") &amp; " mes"&amp; IF(DATEDIF(C8,TODAY(),"YM")=1,"","es")</f>
        <v/>
      </c>
      <c r="E8" t="inlineStr">
        <is>
          <t>isabel71@example.com</t>
        </is>
      </c>
      <c r="F8" t="inlineStr">
        <is>
          <t>573091512382</t>
        </is>
      </c>
      <c r="G8" t="inlineStr">
        <is>
          <t>Fernando Aurelio López Romero</t>
        </is>
      </c>
      <c r="J8">
        <f>IFERROR(IF(DATEDIF(C8,TODAY(),"Y")&gt;=1,DATE(YEAR(I8),MONTH(I8)+6,DAY(I8)),DATE(YEAR(I8),MONTH(I8)+3,DAY(I8))),"NO")</f>
        <v/>
      </c>
      <c r="O8">
        <f>IFERROR(DATE(YEAR(N8)+1,MONTH(N8),DAY(N8)),"")</f>
        <v/>
      </c>
      <c r="Q8">
        <f>IFERROR(DATE(YEAR(P8),MONTH(P8)+6,DAY(P8)),"")</f>
        <v/>
      </c>
      <c r="S8">
        <f>IFERROR(DATE(YEAR(R8),MONTH(R8)+6,DAY(R8)),"")</f>
        <v/>
      </c>
    </row>
    <row r="9">
      <c r="A9" t="inlineStr">
        <is>
          <t>Antonio Hernández</t>
        </is>
      </c>
      <c r="B9" t="n">
        <v>67493106</v>
      </c>
      <c r="C9" s="2" t="n">
        <v>42885</v>
      </c>
      <c r="D9">
        <f>DATEDIF(C9,TODAY(),"Y") &amp; " año" &amp; IF(DATEDIF(C9,TODAY(),"Y")=1,"","s")&amp; " " &amp; DATEDIF(C9,TODAY(),"YM") &amp; " mes"&amp; IF(DATEDIF(C9,TODAY(),"YM")=1,"","es")</f>
        <v/>
      </c>
      <c r="E9" t="inlineStr">
        <is>
          <t>obarrera@example.com</t>
        </is>
      </c>
      <c r="F9" t="inlineStr">
        <is>
          <t>(+57) 605 402 16 24</t>
        </is>
      </c>
      <c r="G9" t="inlineStr">
        <is>
          <t>Yesid Carlos Cruz</t>
        </is>
      </c>
      <c r="J9">
        <f>IFERROR(IF(DATEDIF(C9,TODAY(),"Y")&gt;=1,DATE(YEAR(I9),MONTH(I9)+6,DAY(I9)),DATE(YEAR(I9),MONTH(I9)+3,DAY(I9))),"NO")</f>
        <v/>
      </c>
      <c r="O9">
        <f>IFERROR(DATE(YEAR(N9)+1,MONTH(N9),DAY(N9)),"")</f>
        <v/>
      </c>
      <c r="Q9">
        <f>IFERROR(DATE(YEAR(P9),MONTH(P9)+6,DAY(P9)),"")</f>
        <v/>
      </c>
      <c r="S9">
        <f>IFERROR(DATE(YEAR(R9),MONTH(R9)+6,DAY(R9)),"")</f>
        <v/>
      </c>
    </row>
    <row r="10">
      <c r="A10" t="inlineStr">
        <is>
          <t>Elizabeth Díaz</t>
        </is>
      </c>
      <c r="B10" t="n">
        <v>21913707</v>
      </c>
      <c r="C10" s="2" t="n">
        <v>42830</v>
      </c>
      <c r="D10">
        <f>DATEDIF(C10,TODAY(),"Y") &amp; " año" &amp; IF(DATEDIF(C10,TODAY(),"Y")=1,"","s")&amp; " " &amp; DATEDIF(C10,TODAY(),"YM") &amp; " mes"&amp; IF(DATEDIF(C10,TODAY(),"YM")=1,"","es")</f>
        <v/>
      </c>
      <c r="E10" t="inlineStr">
        <is>
          <t>walvarez@example.org</t>
        </is>
      </c>
      <c r="F10" t="inlineStr">
        <is>
          <t>+573281192057</t>
        </is>
      </c>
      <c r="G10" t="inlineStr">
        <is>
          <t>Luis Vargas</t>
        </is>
      </c>
      <c r="J10">
        <f>IFERROR(IF(DATEDIF(C10,TODAY(),"Y")&gt;=1,DATE(YEAR(I10),MONTH(I10)+6,DAY(I10)),DATE(YEAR(I10),MONTH(I10)+3,DAY(I10))),"NO")</f>
        <v/>
      </c>
      <c r="O10">
        <f>IFERROR(DATE(YEAR(N10)+1,MONTH(N10),DAY(N10)),"")</f>
        <v/>
      </c>
      <c r="Q10">
        <f>IFERROR(DATE(YEAR(P10),MONTH(P10)+6,DAY(P10)),"")</f>
        <v/>
      </c>
      <c r="S10">
        <f>IFERROR(DATE(YEAR(R10),MONTH(R10)+6,DAY(R10)),"")</f>
        <v/>
      </c>
    </row>
    <row r="11">
      <c r="A11" t="inlineStr">
        <is>
          <t>Lucía Santos</t>
        </is>
      </c>
      <c r="B11" t="n">
        <v>20572615</v>
      </c>
      <c r="C11" s="2" t="n">
        <v>43475</v>
      </c>
      <c r="D11">
        <f>DATEDIF(C11,TODAY(),"Y") &amp; " año" &amp; IF(DATEDIF(C11,TODAY(),"Y")=1,"","s")&amp; " " &amp; DATEDIF(C11,TODAY(),"YM") &amp; " mes"&amp; IF(DATEDIF(C11,TODAY(),"YM")=1,"","es")</f>
        <v/>
      </c>
      <c r="E11" t="inlineStr">
        <is>
          <t>pulidoesther@example.org</t>
        </is>
      </c>
      <c r="F11" t="inlineStr">
        <is>
          <t>(+57) 307 006 09 01</t>
        </is>
      </c>
      <c r="G11" t="inlineStr">
        <is>
          <t>Inés Calderón</t>
        </is>
      </c>
      <c r="J11">
        <f>IFERROR(IF(DATEDIF(C11,TODAY(),"Y")&gt;=1,DATE(YEAR(I11),MONTH(I11)+6,DAY(I11)),DATE(YEAR(I11),MONTH(I11)+3,DAY(I11))),"NO")</f>
        <v/>
      </c>
      <c r="O11">
        <f>IFERROR(DATE(YEAR(N11)+1,MONTH(N11),DAY(N11)),"")</f>
        <v/>
      </c>
      <c r="Q11">
        <f>IFERROR(DATE(YEAR(P11),MONTH(P11)+6,DAY(P11)),"")</f>
        <v/>
      </c>
      <c r="S11">
        <f>IFERROR(DATE(YEAR(R11),MONTH(R11)+6,DAY(R11)),"")</f>
        <v/>
      </c>
    </row>
    <row r="12">
      <c r="A12" t="inlineStr">
        <is>
          <t>María Parra</t>
        </is>
      </c>
      <c r="B12" t="n">
        <v>32667575</v>
      </c>
      <c r="C12" s="2" t="n">
        <v>45576</v>
      </c>
      <c r="D12">
        <f>DATEDIF(C12,TODAY(),"Y") &amp; " año" &amp; IF(DATEDIF(C12,TODAY(),"Y")=1,"","s")&amp; " " &amp; DATEDIF(C12,TODAY(),"YM") &amp; " mes"&amp; IF(DATEDIF(C12,TODAY(),"YM")=1,"","es")</f>
        <v/>
      </c>
      <c r="E12" t="inlineStr">
        <is>
          <t>arrietamaria@example.org</t>
        </is>
      </c>
      <c r="F12" t="inlineStr">
        <is>
          <t>(+57) 310 367 07 21</t>
        </is>
      </c>
      <c r="G12" t="inlineStr">
        <is>
          <t>Nelcy Amparo Gómez</t>
        </is>
      </c>
      <c r="J12">
        <f>IFERROR(IF(DATEDIF(C12,TODAY(),"Y")&gt;=1,DATE(YEAR(I12),MONTH(I12)+6,DAY(I12)),DATE(YEAR(I12),MONTH(I12)+3,DAY(I12))),"NO")</f>
        <v/>
      </c>
      <c r="O12">
        <f>IFERROR(DATE(YEAR(N12)+1,MONTH(N12),DAY(N12)),"")</f>
        <v/>
      </c>
      <c r="Q12">
        <f>IFERROR(DATE(YEAR(P12),MONTH(P12)+6,DAY(P12)),"")</f>
        <v/>
      </c>
      <c r="S12">
        <f>IFERROR(DATE(YEAR(R12),MONTH(R12)+6,DAY(R12)),"")</f>
        <v/>
      </c>
    </row>
    <row r="13">
      <c r="A13" t="inlineStr">
        <is>
          <t>Alfonso Gómez</t>
        </is>
      </c>
      <c r="B13" t="n">
        <v>92540943</v>
      </c>
      <c r="C13" s="2" t="n">
        <v>44300</v>
      </c>
      <c r="D13">
        <f>DATEDIF(C13,TODAY(),"Y") &amp; " año" &amp; IF(DATEDIF(C13,TODAY(),"Y")=1,"","s")&amp; " " &amp; DATEDIF(C13,TODAY(),"YM") &amp; " mes"&amp; IF(DATEDIF(C13,TODAY(),"YM")=1,"","es")</f>
        <v/>
      </c>
      <c r="E13" t="inlineStr">
        <is>
          <t>milena17@example.com</t>
        </is>
      </c>
      <c r="F13" t="inlineStr">
        <is>
          <t>806 77 14</t>
        </is>
      </c>
      <c r="G13" t="inlineStr">
        <is>
          <t>José Alexander González Flórez</t>
        </is>
      </c>
      <c r="J13">
        <f>IFERROR(IF(DATEDIF(C13,TODAY(),"Y")&gt;=1,DATE(YEAR(I13),MONTH(I13)+6,DAY(I13)),DATE(YEAR(I13),MONTH(I13)+3,DAY(I13))),"NO")</f>
        <v/>
      </c>
      <c r="O13">
        <f>IFERROR(DATE(YEAR(N13)+1,MONTH(N13),DAY(N13)),"")</f>
        <v/>
      </c>
      <c r="Q13">
        <f>IFERROR(DATE(YEAR(P13),MONTH(P13)+6,DAY(P13)),"")</f>
        <v/>
      </c>
      <c r="S13">
        <f>IFERROR(DATE(YEAR(R13),MONTH(R13)+6,DAY(R13)),"")</f>
        <v/>
      </c>
    </row>
    <row r="14">
      <c r="A14" t="inlineStr">
        <is>
          <t>José Camargo</t>
        </is>
      </c>
      <c r="B14" t="n">
        <v>21905626</v>
      </c>
      <c r="C14" s="2" t="n">
        <v>42645</v>
      </c>
      <c r="D14">
        <f>DATEDIF(C14,TODAY(),"Y") &amp; " año" &amp; IF(DATEDIF(C14,TODAY(),"Y")=1,"","s")&amp; " " &amp; DATEDIF(C14,TODAY(),"YM") &amp; " mes"&amp; IF(DATEDIF(C14,TODAY(),"YM")=1,"","es")</f>
        <v/>
      </c>
      <c r="E14" t="inlineStr">
        <is>
          <t>davidleal@example.org</t>
        </is>
      </c>
      <c r="F14" t="inlineStr">
        <is>
          <t>(+57)6082936389</t>
        </is>
      </c>
      <c r="G14" t="inlineStr">
        <is>
          <t>Norma Karol González Ospina</t>
        </is>
      </c>
      <c r="J14">
        <f>IFERROR(IF(DATEDIF(C14,TODAY(),"Y")&gt;=1,DATE(YEAR(I14),MONTH(I14)+6,DAY(I14)),DATE(YEAR(I14),MONTH(I14)+3,DAY(I14))),"NO")</f>
        <v/>
      </c>
      <c r="O14">
        <f>IFERROR(DATE(YEAR(N14)+1,MONTH(N14),DAY(N14)),"")</f>
        <v/>
      </c>
      <c r="Q14">
        <f>IFERROR(DATE(YEAR(P14),MONTH(P14)+6,DAY(P14)),"")</f>
        <v/>
      </c>
      <c r="S14">
        <f>IFERROR(DATE(YEAR(R14),MONTH(R14)+6,DAY(R14)),"")</f>
        <v/>
      </c>
    </row>
    <row r="15">
      <c r="A15" t="inlineStr">
        <is>
          <t>Ignacio Mosquera</t>
        </is>
      </c>
      <c r="B15" t="n">
        <v>38579474</v>
      </c>
      <c r="C15" s="2" t="n">
        <v>43718</v>
      </c>
      <c r="D15">
        <f>DATEDIF(C15,TODAY(),"Y") &amp; " año" &amp; IF(DATEDIF(C15,TODAY(),"Y")=1,"","s")&amp; " " &amp; DATEDIF(C15,TODAY(),"YM") &amp; " mes"&amp; IF(DATEDIF(C15,TODAY(),"YM")=1,"","es")</f>
        <v/>
      </c>
      <c r="E15" t="inlineStr">
        <is>
          <t>silvia82@example.org</t>
        </is>
      </c>
      <c r="F15" t="inlineStr">
        <is>
          <t>322 429 15 44</t>
        </is>
      </c>
      <c r="G15" t="inlineStr">
        <is>
          <t>José Dagoberto Barrera</t>
        </is>
      </c>
      <c r="J15">
        <f>IFERROR(IF(DATEDIF(C15,TODAY(),"Y")&gt;=1,DATE(YEAR(I15),MONTH(I15)+6,DAY(I15)),DATE(YEAR(I15),MONTH(I15)+3,DAY(I15))),"NO")</f>
        <v/>
      </c>
      <c r="O15">
        <f>IFERROR(DATE(YEAR(N15)+1,MONTH(N15),DAY(N15)),"")</f>
        <v/>
      </c>
      <c r="Q15">
        <f>IFERROR(DATE(YEAR(P15),MONTH(P15)+6,DAY(P15)),"")</f>
        <v/>
      </c>
    </row>
    <row r="16">
      <c r="A16" t="inlineStr">
        <is>
          <t>Liliana Chávez</t>
        </is>
      </c>
      <c r="B16" t="n">
        <v>62210155</v>
      </c>
      <c r="C16" s="2" t="n">
        <v>45423</v>
      </c>
      <c r="D16">
        <f>DATEDIF(C16,TODAY(),"Y") &amp; " año" &amp; IF(DATEDIF(C16,TODAY(),"Y")=1,"","s")&amp; " " &amp; DATEDIF(C16,TODAY(),"YM") &amp; " mes"&amp; IF(DATEDIF(C16,TODAY(),"YM")=1,"","es")</f>
        <v/>
      </c>
      <c r="E16" t="inlineStr">
        <is>
          <t>alejandraherrera@example.net</t>
        </is>
      </c>
      <c r="F16" t="inlineStr">
        <is>
          <t>(+57)6049408128</t>
        </is>
      </c>
      <c r="G16" t="inlineStr">
        <is>
          <t>Cecilia Zapata Ortiz</t>
        </is>
      </c>
      <c r="J16">
        <f>IFERROR(IF(DATEDIF(C16,TODAY(),"Y")&gt;=1,DATE(YEAR(I16),MONTH(I16)+6,DAY(I16)),DATE(YEAR(I16),MONTH(I16)+3,DAY(I16))),"NO")</f>
        <v/>
      </c>
    </row>
    <row r="17">
      <c r="A17" t="inlineStr">
        <is>
          <t>Nidia Rodríguez</t>
        </is>
      </c>
      <c r="B17" t="n">
        <v>48600174</v>
      </c>
      <c r="C17" s="2" t="n">
        <v>42598</v>
      </c>
      <c r="D17">
        <f>DATEDIF(C17,TODAY(),"Y") &amp; " año" &amp; IF(DATEDIF(C17,TODAY(),"Y")=1,"","s")&amp; " " &amp; DATEDIF(C17,TODAY(),"YM") &amp; " mes"&amp; IF(DATEDIF(C17,TODAY(),"YM")=1,"","es")</f>
        <v/>
      </c>
      <c r="E17" t="inlineStr">
        <is>
          <t>dary46@example.org</t>
        </is>
      </c>
      <c r="F17" t="inlineStr">
        <is>
          <t>(+57)6049435269</t>
        </is>
      </c>
      <c r="G17" t="inlineStr">
        <is>
          <t>Paola Luz Rendón Caro</t>
        </is>
      </c>
      <c r="J17">
        <f>IFERROR(IF(DATEDIF(C17,TODAY(),"Y")&gt;=1,DATE(YEAR(I17),MONTH(I17)+6,DAY(I17)),DATE(YEAR(I17),MONTH(I17)+3,DAY(I17))),"NO")</f>
        <v/>
      </c>
      <c r="O17">
        <f>IFERROR(DATE(YEAR(N17)+1,MONTH(N17),DAY(N17)),"")</f>
        <v/>
      </c>
      <c r="S17">
        <f>IFERROR(DATE(YEAR(R17),MONTH(R17)+6,DAY(R17)),"")</f>
        <v/>
      </c>
    </row>
    <row r="18">
      <c r="A18" t="inlineStr">
        <is>
          <t>Michel Alzate</t>
        </is>
      </c>
      <c r="B18" t="n">
        <v>23110735</v>
      </c>
      <c r="C18" s="2" t="n">
        <v>42250</v>
      </c>
      <c r="D18">
        <f>DATEDIF(C18,TODAY(),"Y") &amp; " año" &amp; IF(DATEDIF(C18,TODAY(),"Y")=1,"","s")&amp; " " &amp; DATEDIF(C18,TODAY(),"YM") &amp; " mes"&amp; IF(DATEDIF(C18,TODAY(),"YM")=1,"","es")</f>
        <v/>
      </c>
      <c r="E18" t="inlineStr">
        <is>
          <t>judith37@example.com</t>
        </is>
      </c>
      <c r="F18" t="inlineStr">
        <is>
          <t>314 195 30 09</t>
        </is>
      </c>
      <c r="G18" t="inlineStr">
        <is>
          <t>Luz Gamboa</t>
        </is>
      </c>
      <c r="J18">
        <f>IFERROR(IF(DATEDIF(C18,TODAY(),"Y")&gt;=1,DATE(YEAR(I18),MONTH(I18)+6,DAY(I18)),DATE(YEAR(I18),MONTH(I18)+3,DAY(I18))),"NO")</f>
        <v/>
      </c>
      <c r="O18">
        <f>IFERROR(DATE(YEAR(N18)+1,MONTH(N18),DAY(N18)),"")</f>
        <v/>
      </c>
      <c r="Q18">
        <f>IFERROR(DATE(YEAR(P18),MONTH(P18)+6,DAY(P18)),"")</f>
        <v/>
      </c>
      <c r="S18">
        <f>IFERROR(DATE(YEAR(R18),MONTH(R18)+6,DAY(R18)),"")</f>
        <v/>
      </c>
    </row>
    <row r="19">
      <c r="A19" t="inlineStr">
        <is>
          <t>Juan Romero</t>
        </is>
      </c>
      <c r="B19" t="n">
        <v>14168200</v>
      </c>
      <c r="C19" s="2" t="n">
        <v>44361</v>
      </c>
      <c r="D19">
        <f>DATEDIF(C19,TODAY(),"Y") &amp; " año" &amp; IF(DATEDIF(C19,TODAY(),"Y")=1,"","s")&amp; " " &amp; DATEDIF(C19,TODAY(),"YM") &amp; " mes"&amp; IF(DATEDIF(C19,TODAY(),"YM")=1,"","es")</f>
        <v/>
      </c>
      <c r="E19" t="inlineStr">
        <is>
          <t>walter02@example.com</t>
        </is>
      </c>
      <c r="F19" t="inlineStr">
        <is>
          <t>57 306 168 79 09</t>
        </is>
      </c>
      <c r="G19" t="inlineStr">
        <is>
          <t>Luis José Rodríguez Cáceres</t>
        </is>
      </c>
      <c r="J19">
        <f>IFERROR(IF(DATEDIF(C19,TODAY(),"Y")&gt;=1,DATE(YEAR(I19),MONTH(I19)+6,DAY(I19)),DATE(YEAR(I19),MONTH(I19)+3,DAY(I19))),"NO")</f>
        <v/>
      </c>
      <c r="O19">
        <f>IFERROR(DATE(YEAR(N19)+1,MONTH(N19),DAY(N19)),"")</f>
        <v/>
      </c>
      <c r="Q19">
        <f>IFERROR(DATE(YEAR(P19),MONTH(P19)+6,DAY(P19)),"")</f>
        <v/>
      </c>
    </row>
    <row r="20">
      <c r="A20" t="inlineStr">
        <is>
          <t>Marcela Mosquera</t>
        </is>
      </c>
      <c r="B20" t="n">
        <v>93361638</v>
      </c>
      <c r="C20" s="2" t="n">
        <v>45680</v>
      </c>
      <c r="D20">
        <f>DATEDIF(C20,TODAY(),"Y") &amp; " año" &amp; IF(DATEDIF(C20,TODAY(),"Y")=1,"","s")&amp; " " &amp; DATEDIF(C20,TODAY(),"YM") &amp; " mes"&amp; IF(DATEDIF(C20,TODAY(),"YM")=1,"","es")</f>
        <v/>
      </c>
      <c r="E20" t="inlineStr">
        <is>
          <t>sanchezvictor@example.org</t>
        </is>
      </c>
      <c r="F20" t="inlineStr">
        <is>
          <t>+573186594267</t>
        </is>
      </c>
      <c r="G20" t="inlineStr">
        <is>
          <t>Jorge Valencia Fonseca</t>
        </is>
      </c>
      <c r="J20">
        <f>IFERROR(IF(DATEDIF(C20,TODAY(),"Y")&gt;=1,DATE(YEAR(I20),MONTH(I20)+6,DAY(I20)),DATE(YEAR(I20),MONTH(I20)+3,DAY(I20))),"NO")</f>
        <v/>
      </c>
      <c r="O20">
        <f>IFERROR(DATE(YEAR(N20)+1,MONTH(N20),DAY(N20)),"")</f>
        <v/>
      </c>
      <c r="Q20">
        <f>IFERROR(DATE(YEAR(P20),MONTH(P20)+6,DAY(P20)),"")</f>
        <v/>
      </c>
      <c r="S20">
        <f>IFERROR(DATE(YEAR(R20),MONTH(R20)+6,DAY(R20)),"")</f>
        <v/>
      </c>
    </row>
    <row r="21">
      <c r="A21" t="inlineStr">
        <is>
          <t>Liliana Ávila</t>
        </is>
      </c>
      <c r="B21" t="n">
        <v>32393614</v>
      </c>
      <c r="C21" s="2" t="n">
        <v>44758</v>
      </c>
      <c r="D21">
        <f>DATEDIF(C21,TODAY(),"Y") &amp; " año" &amp; IF(DATEDIF(C21,TODAY(),"Y")=1,"","s")&amp; " " &amp; DATEDIF(C21,TODAY(),"YM") &amp; " mes"&amp; IF(DATEDIF(C21,TODAY(),"YM")=1,"","es")</f>
        <v/>
      </c>
      <c r="E21" t="inlineStr">
        <is>
          <t>david92@example.org</t>
        </is>
      </c>
      <c r="F21" t="inlineStr">
        <is>
          <t>57 329 690 64 45</t>
        </is>
      </c>
      <c r="G21" t="inlineStr">
        <is>
          <t>Ramón César Acosta Alarcón</t>
        </is>
      </c>
      <c r="J21">
        <f>IFERROR(IF(DATEDIF(C21,TODAY(),"Y")&gt;=1,DATE(YEAR(I21),MONTH(I21)+6,DAY(I21)),DATE(YEAR(I21),MONTH(I21)+3,DAY(I21))),"NO")</f>
        <v/>
      </c>
      <c r="O21">
        <f>IFERROR(DATE(YEAR(N21)+1,MONTH(N21),DAY(N21)),"")</f>
        <v/>
      </c>
      <c r="Q21">
        <f>IFERROR(DATE(YEAR(P21),MONTH(P21)+6,DAY(P21)),"")</f>
        <v/>
      </c>
      <c r="S21">
        <f>IFERROR(DATE(YEAR(R21),MONTH(R21)+6,DAY(R21)),"")</f>
        <v/>
      </c>
    </row>
    <row r="22">
      <c r="A22" t="inlineStr">
        <is>
          <t>Natalia Gil</t>
        </is>
      </c>
      <c r="B22" t="n">
        <v>60491676</v>
      </c>
      <c r="C22" s="2" t="n">
        <v>43102</v>
      </c>
      <c r="D22">
        <f>DATEDIF(C22,TODAY(),"Y") &amp; " año" &amp; IF(DATEDIF(C22,TODAY(),"Y")=1,"","s")&amp; " " &amp; DATEDIF(C22,TODAY(),"YM") &amp; " mes"&amp; IF(DATEDIF(C22,TODAY(),"YM")=1,"","es")</f>
        <v/>
      </c>
      <c r="E22" t="inlineStr">
        <is>
          <t>rocioramos@example.org</t>
        </is>
      </c>
      <c r="F22" t="inlineStr">
        <is>
          <t>573121620140</t>
        </is>
      </c>
      <c r="G22" t="inlineStr">
        <is>
          <t>Fernanda Toro</t>
        </is>
      </c>
      <c r="J22">
        <f>IFERROR(IF(DATEDIF(C22,TODAY(),"Y")&gt;=1,DATE(YEAR(I22),MONTH(I22)+6,DAY(I22)),DATE(YEAR(I22),MONTH(I22)+3,DAY(I22))),"NO")</f>
        <v/>
      </c>
      <c r="O22">
        <f>IFERROR(DATE(YEAR(N22)+1,MONTH(N22),DAY(N22)),"")</f>
        <v/>
      </c>
      <c r="Q22">
        <f>IFERROR(DATE(YEAR(P22),MONTH(P22)+6,DAY(P22)),"")</f>
        <v/>
      </c>
      <c r="S22">
        <f>IFERROR(DATE(YEAR(R22),MONTH(R22)+6,DAY(R22)),"")</f>
        <v/>
      </c>
    </row>
    <row r="23">
      <c r="A23" t="inlineStr">
        <is>
          <t>Miguel Silva</t>
        </is>
      </c>
      <c r="B23" t="n">
        <v>89816361</v>
      </c>
      <c r="C23" s="2" t="n">
        <v>43332</v>
      </c>
      <c r="D23">
        <f>DATEDIF(C23,TODAY(),"Y") &amp; " año" &amp; IF(DATEDIF(C23,TODAY(),"Y")=1,"","s")&amp; " " &amp; DATEDIF(C23,TODAY(),"YM") &amp; " mes"&amp; IF(DATEDIF(C23,TODAY(),"YM")=1,"","es")</f>
        <v/>
      </c>
      <c r="E23" t="inlineStr">
        <is>
          <t>ucaballero@example.org</t>
        </is>
      </c>
      <c r="F23" t="inlineStr">
        <is>
          <t>3294099490</t>
        </is>
      </c>
      <c r="G23" t="inlineStr">
        <is>
          <t>Carolina Espitia García</t>
        </is>
      </c>
      <c r="J23">
        <f>IFERROR(IF(DATEDIF(C23,TODAY(),"Y")&gt;=1,DATE(YEAR(I23),MONTH(I23)+6,DAY(I23)),DATE(YEAR(I23),MONTH(I23)+3,DAY(I23))),"NO")</f>
        <v/>
      </c>
      <c r="O23">
        <f>IFERROR(DATE(YEAR(N23)+1,MONTH(N23),DAY(N23)),"")</f>
        <v/>
      </c>
      <c r="Q23">
        <f>IFERROR(DATE(YEAR(P23),MONTH(P23)+6,DAY(P23)),"")</f>
        <v/>
      </c>
      <c r="S23">
        <f>IFERROR(DATE(YEAR(R23),MONTH(R23)+6,DAY(R23)),"")</f>
        <v/>
      </c>
    </row>
    <row r="24">
      <c r="A24" t="inlineStr">
        <is>
          <t>Daniel Beltrán</t>
        </is>
      </c>
      <c r="B24" t="n">
        <v>93179027</v>
      </c>
      <c r="C24" s="2" t="n">
        <v>42282</v>
      </c>
      <c r="D24">
        <f>DATEDIF(C24,TODAY(),"Y") &amp; " año" &amp; IF(DATEDIF(C24,TODAY(),"Y")=1,"","s")&amp; " " &amp; DATEDIF(C24,TODAY(),"YM") &amp; " mes"&amp; IF(DATEDIF(C24,TODAY(),"YM")=1,"","es")</f>
        <v/>
      </c>
      <c r="E24" t="inlineStr">
        <is>
          <t>alfonso82@example.net</t>
        </is>
      </c>
      <c r="F24" t="inlineStr">
        <is>
          <t>301 983 56 82</t>
        </is>
      </c>
      <c r="G24" t="inlineStr">
        <is>
          <t>Mercedes Melissa Garzón Ortiz</t>
        </is>
      </c>
      <c r="J24">
        <f>IFERROR(IF(DATEDIF(C24,TODAY(),"Y")&gt;=1,DATE(YEAR(I24),MONTH(I24)+6,DAY(I24)),DATE(YEAR(I24),MONTH(I24)+3,DAY(I24))),"NO")</f>
        <v/>
      </c>
      <c r="O24">
        <f>IFERROR(DATE(YEAR(N24)+1,MONTH(N24),DAY(N24)),"")</f>
        <v/>
      </c>
    </row>
    <row r="25">
      <c r="A25" t="inlineStr">
        <is>
          <t>Alexander Cardona</t>
        </is>
      </c>
      <c r="B25" t="n">
        <v>28737056</v>
      </c>
      <c r="C25" s="2" t="n">
        <v>41996</v>
      </c>
      <c r="D25">
        <f>DATEDIF(C25,TODAY(),"Y") &amp; " año" &amp; IF(DATEDIF(C25,TODAY(),"Y")=1,"","s")&amp; " " &amp; DATEDIF(C25,TODAY(),"YM") &amp; " mes"&amp; IF(DATEDIF(C25,TODAY(),"YM")=1,"","es")</f>
        <v/>
      </c>
      <c r="E25" t="inlineStr">
        <is>
          <t>maria31@example.net</t>
        </is>
      </c>
      <c r="F25" t="inlineStr">
        <is>
          <t>57 609 692 45 71</t>
        </is>
      </c>
      <c r="G25" t="inlineStr">
        <is>
          <t>Andrés Eliecer Núñez</t>
        </is>
      </c>
      <c r="J25">
        <f>IFERROR(IF(DATEDIF(C25,TODAY(),"Y")&gt;=1,DATE(YEAR(I25),MONTH(I25)+6,DAY(I25)),DATE(YEAR(I25),MONTH(I25)+3,DAY(I25))),"NO")</f>
        <v/>
      </c>
      <c r="O25">
        <f>IFERROR(DATE(YEAR(N25)+1,MONTH(N25),DAY(N25)),"")</f>
        <v/>
      </c>
      <c r="Q25">
        <f>IFERROR(DATE(YEAR(P25),MONTH(P25)+6,DAY(P25)),"")</f>
        <v/>
      </c>
      <c r="S25">
        <f>IFERROR(DATE(YEAR(R25),MONTH(R25)+6,DAY(R25)),"")</f>
        <v/>
      </c>
    </row>
    <row r="26">
      <c r="A26" t="inlineStr">
        <is>
          <t>Juan Rojas</t>
        </is>
      </c>
      <c r="B26" t="n">
        <v>37540377</v>
      </c>
      <c r="C26" s="2" t="n">
        <v>44258</v>
      </c>
      <c r="D26">
        <f>DATEDIF(C26,TODAY(),"Y") &amp; " año" &amp; IF(DATEDIF(C26,TODAY(),"Y")=1,"","s")&amp; " " &amp; DATEDIF(C26,TODAY(),"YM") &amp; " mes"&amp; IF(DATEDIF(C26,TODAY(),"YM")=1,"","es")</f>
        <v/>
      </c>
      <c r="E26" t="inlineStr">
        <is>
          <t>gmunoz@example.com</t>
        </is>
      </c>
      <c r="F26" t="inlineStr">
        <is>
          <t>(+57) 325 941 30 21</t>
        </is>
      </c>
      <c r="G26" t="inlineStr">
        <is>
          <t>Elizabeth Alejandra Padilla Palacios</t>
        </is>
      </c>
      <c r="J26">
        <f>IFERROR(IF(DATEDIF(C26,TODAY(),"Y")&gt;=1,DATE(YEAR(I26),MONTH(I26)+6,DAY(I26)),DATE(YEAR(I26),MONTH(I26)+3,DAY(I26))),"NO")</f>
        <v/>
      </c>
      <c r="O26">
        <f>IFERROR(DATE(YEAR(N26)+1,MONTH(N26),DAY(N26)),"")</f>
        <v/>
      </c>
      <c r="Q26">
        <f>IFERROR(DATE(YEAR(P26),MONTH(P26)+6,DAY(P26)),"")</f>
        <v/>
      </c>
      <c r="S26">
        <f>IFERROR(DATE(YEAR(R26),MONTH(R26)+6,DAY(R26)),"")</f>
        <v/>
      </c>
    </row>
    <row r="27">
      <c r="A27" t="inlineStr">
        <is>
          <t>Juan Galvis</t>
        </is>
      </c>
      <c r="B27" t="n">
        <v>91492461</v>
      </c>
      <c r="C27" s="2" t="n">
        <v>42500</v>
      </c>
      <c r="D27">
        <f>DATEDIF(C27,TODAY(),"Y") &amp; " año" &amp; IF(DATEDIF(C27,TODAY(),"Y")=1,"","s")&amp; " " &amp; DATEDIF(C27,TODAY(),"YM") &amp; " mes"&amp; IF(DATEDIF(C27,TODAY(),"YM")=1,"","es")</f>
        <v/>
      </c>
      <c r="E27" t="inlineStr">
        <is>
          <t>laura16@example.org</t>
        </is>
      </c>
      <c r="F27" t="inlineStr">
        <is>
          <t>+576057279411</t>
        </is>
      </c>
      <c r="G27" t="inlineStr">
        <is>
          <t>Iván Díaz Miranda</t>
        </is>
      </c>
      <c r="J27">
        <f>IFERROR(IF(DATEDIF(C27,TODAY(),"Y")&gt;=1,DATE(YEAR(I27),MONTH(I27)+6,DAY(I27)),DATE(YEAR(I27),MONTH(I27)+3,DAY(I27))),"NO")</f>
        <v/>
      </c>
      <c r="O27">
        <f>IFERROR(DATE(YEAR(N27)+1,MONTH(N27),DAY(N27)),"")</f>
        <v/>
      </c>
      <c r="Q27">
        <f>IFERROR(DATE(YEAR(P27),MONTH(P27)+6,DAY(P27)),"")</f>
        <v/>
      </c>
      <c r="S27">
        <f>IFERROR(DATE(YEAR(R27),MONTH(R27)+6,DAY(R27)),"")</f>
        <v/>
      </c>
    </row>
    <row r="28">
      <c r="A28" t="inlineStr">
        <is>
          <t>Alejandra Toro</t>
        </is>
      </c>
      <c r="B28" t="n">
        <v>42871631</v>
      </c>
      <c r="C28" s="2" t="n">
        <v>44231</v>
      </c>
      <c r="D28">
        <f>DATEDIF(C28,TODAY(),"Y") &amp; " año" &amp; IF(DATEDIF(C28,TODAY(),"Y")=1,"","s")&amp; " " &amp; DATEDIF(C28,TODAY(),"YM") &amp; " mes"&amp; IF(DATEDIF(C28,TODAY(),"YM")=1,"","es")</f>
        <v/>
      </c>
      <c r="E28" t="inlineStr">
        <is>
          <t>hsarmiento@example.net</t>
        </is>
      </c>
      <c r="F28" t="inlineStr">
        <is>
          <t>972 02 59</t>
        </is>
      </c>
      <c r="G28" t="inlineStr">
        <is>
          <t>Mónica Torres</t>
        </is>
      </c>
      <c r="J28">
        <f>IFERROR(IF(DATEDIF(C28,TODAY(),"Y")&gt;=1,DATE(YEAR(I28),MONTH(I28)+6,DAY(I28)),DATE(YEAR(I28),MONTH(I28)+3,DAY(I28))),"NO")</f>
        <v/>
      </c>
      <c r="O28">
        <f>IFERROR(DATE(YEAR(N28)+1,MONTH(N28),DAY(N28)),"")</f>
        <v/>
      </c>
      <c r="Q28">
        <f>IFERROR(DATE(YEAR(P28),MONTH(P28)+6,DAY(P28)),"")</f>
        <v/>
      </c>
      <c r="S28">
        <f>IFERROR(DATE(YEAR(R28),MONTH(R28)+6,DAY(R28)),"")</f>
        <v/>
      </c>
    </row>
    <row r="29">
      <c r="A29" t="inlineStr">
        <is>
          <t>Andrés Suárez</t>
        </is>
      </c>
      <c r="B29" t="n">
        <v>99637013</v>
      </c>
      <c r="C29" s="2" t="n">
        <v>44792</v>
      </c>
      <c r="D29">
        <f>DATEDIF(C29,TODAY(),"Y") &amp; " año" &amp; IF(DATEDIF(C29,TODAY(),"Y")=1,"","s")&amp; " " &amp; DATEDIF(C29,TODAY(),"YM") &amp; " mes"&amp; IF(DATEDIF(C29,TODAY(),"YM")=1,"","es")</f>
        <v/>
      </c>
      <c r="E29" t="inlineStr">
        <is>
          <t>murillowilson@example.net</t>
        </is>
      </c>
      <c r="F29" t="inlineStr">
        <is>
          <t>+57 605 826 04 29</t>
        </is>
      </c>
      <c r="G29" t="inlineStr">
        <is>
          <t>Marlon César Velasco</t>
        </is>
      </c>
      <c r="J29">
        <f>IFERROR(IF(DATEDIF(C29,TODAY(),"Y")&gt;=1,DATE(YEAR(I29),MONTH(I29)+6,DAY(I29)),DATE(YEAR(I29),MONTH(I29)+3,DAY(I29))),"NO")</f>
        <v/>
      </c>
      <c r="O29">
        <f>IFERROR(DATE(YEAR(N29)+1,MONTH(N29),DAY(N29)),"")</f>
        <v/>
      </c>
      <c r="Q29">
        <f>IFERROR(DATE(YEAR(P29),MONTH(P29)+6,DAY(P29)),"")</f>
        <v/>
      </c>
      <c r="S29">
        <f>IFERROR(DATE(YEAR(R29),MONTH(R29)+6,DAY(R29)),"")</f>
        <v/>
      </c>
    </row>
    <row r="30">
      <c r="A30" t="inlineStr">
        <is>
          <t>Andrea Ospina</t>
        </is>
      </c>
      <c r="B30" t="n">
        <v>76054278</v>
      </c>
      <c r="C30" s="2" t="n">
        <v>42886</v>
      </c>
      <c r="D30" t="inlineStr">
        <is>
          <t>Cl. 186F # 8Y-2, 158240, Susacón, Boyacá</t>
        </is>
      </c>
      <c r="E30" t="inlineStr">
        <is>
          <t>mgarzon@example.org</t>
        </is>
      </c>
      <c r="F30" t="inlineStr">
        <is>
          <t>3063274297</t>
        </is>
      </c>
      <c r="G30" t="inlineStr">
        <is>
          <t>Adolfo Emilio Tamayo</t>
        </is>
      </c>
    </row>
    <row r="31">
      <c r="A31" t="inlineStr">
        <is>
          <t>Jorge Ramírez</t>
        </is>
      </c>
      <c r="B31" t="n">
        <v>60575015</v>
      </c>
      <c r="C31" s="2" t="n">
        <v>44403</v>
      </c>
      <c r="D31" t="inlineStr">
        <is>
          <t>Calle 171F Bis F # 13-9 Sur, Apartamento 5, 273874, Lloró, Chocó</t>
        </is>
      </c>
      <c r="E31" t="inlineStr">
        <is>
          <t>alcides02@example.net</t>
        </is>
      </c>
      <c r="F31" t="inlineStr">
        <is>
          <t>+57 303 495 32 72</t>
        </is>
      </c>
      <c r="G31" t="inlineStr">
        <is>
          <t>Carlos Niño Mora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2025-11-07T16:29:28Z</dcterms:created>
  <dcterms:modified xmlns:dcterms="http://purl.org/dc/terms/" xmlns:xsi="http://www.w3.org/2001/XMLSchema-instance" xsi:type="dcterms:W3CDTF">2025-11-07T16:54:13Z</dcterms:modified>
  <cp:lastModifiedBy>Oscar Goez</cp:lastModifiedBy>
</cp:coreProperties>
</file>